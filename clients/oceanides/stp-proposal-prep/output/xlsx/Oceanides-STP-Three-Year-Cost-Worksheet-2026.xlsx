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50ce461cf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ynilad building" sheetId="1" r:id="R40ada74ffcbb4ac2"/>
    <x:sheet xmlns:r="http://schemas.openxmlformats.org/officeDocument/2006/relationships" name="Carmona building" sheetId="2" r:id="R2845dfb61d744ba4"/>
    <x:sheet xmlns:r="http://schemas.openxmlformats.org/officeDocument/2006/relationships" name="Carmona subdivision" sheetId="3" r:id="R5974cedb1e43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PHP &quot;#,##0;(&quot;PHP &quot;#,##0);&quot;PHP -&quot;"/>
    <x:numFmt numFmtId="201" formatCode="0.0%;(0.0%);&quot;-&quot;"/>
    <x:numFmt numFmtId="202" formatCode="#,##0;(#,##0);&quot;-&quot;"/>
  </x:numFmts>
  <x:fonts count="10">
    <x:font>
      <x:sz val="11"/>
      <x:name val="Carlito"/>
    </x:font>
    <x:font>
      <x:sz val="11"/>
      <x:color rgb="FF111111"/>
      <x:name val="Corbel"/>
    </x:font>
    <x:font>
      <x:b/>
      <x:sz val="17"/>
      <x:color rgb="FF0A1F45"/>
      <x:name val="Century Gothic"/>
    </x:font>
    <x:font>
      <x:i/>
      <x:sz val="11"/>
      <x:color rgb="FF526175"/>
      <x:name val="Corbel"/>
    </x:font>
    <x:font>
      <x:sz val="11"/>
      <x:color rgb="FF526175"/>
      <x:name val="Corbel"/>
    </x:font>
    <x:font>
      <x:b/>
      <x:sz val="11"/>
      <x:color rgb="FF1C63AD"/>
      <x:name val="Corbel"/>
    </x:font>
    <x:font>
      <x:i/>
      <x:sz val="11"/>
      <x:color rgb="FF111111"/>
      <x:name val="Corbel"/>
    </x:font>
    <x:font>
      <x:b/>
      <x:sz val="11"/>
      <x:color rgb="FF111111"/>
      <x:name val="Corbel"/>
    </x:font>
    <x:font>
      <x:sz val="11"/>
      <x:color rgb="FF0000FF"/>
      <x:name val="Corbel"/>
    </x:font>
    <x:font>
      <x:b/>
      <x:sz val="11"/>
      <x:color rgb="FFFFFFFF"/>
      <x:name val="Corbel"/>
    </x:font>
  </x:fonts>
  <x:fills count="6">
    <x:fill>
      <x:patternFill patternType="none"/>
    </x:fill>
    <x:fill>
      <x:patternFill patternType="gray125"/>
    </x:fill>
    <x:fill>
      <x:patternFill patternType="solid">
        <x:fgColor rgb="FFF2F6FC"/>
      </x:patternFill>
    </x:fill>
    <x:fill>
      <x:patternFill patternType="solid">
        <x:fgColor rgb="FFFFF2CC"/>
      </x:patternFill>
    </x:fill>
    <x:fill>
      <x:patternFill patternType="solid">
        <x:fgColor rgb="FF0A1F45"/>
      </x:patternFill>
    </x:fill>
    <x:fill>
      <x:patternFill patternType="solid">
        <x:fgColor rgb="FF1C63AD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63AD"/>
      </x:bottom>
      <x:diagonal/>
    </x:border>
    <x:border>
      <x:left/>
      <x:right/>
      <x:top style="thin">
        <x:color rgb="FF1C63AD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right" vertical="center"/>
    </x:xf>
    <x:xf numFmtId="202" fontId="8" fillId="3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200" fontId="7" fillId="2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26175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26175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26175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4ea7e00774b34" /><Relationship Type="http://schemas.openxmlformats.org/officeDocument/2006/relationships/theme" Target="/xl/theme/theme1.xml" Id="R86b7f8ca8f174408" /><Relationship Type="http://schemas.openxmlformats.org/officeDocument/2006/relationships/sharedStrings" Target="/xl/sharedStrings.xml" Id="R9a7533034df441b8" /><Relationship Type="http://schemas.openxmlformats.org/officeDocument/2006/relationships/worksheet" Target="/xl/worksheets/sheet1.xml" Id="R40ada74ffcbb4ac2" /><Relationship Type="http://schemas.openxmlformats.org/officeDocument/2006/relationships/worksheet" Target="/xl/worksheets/sheet2.xml" Id="R2845dfb61d744ba4" /><Relationship Type="http://schemas.openxmlformats.org/officeDocument/2006/relationships/worksheet" Target="/xl/worksheets/sheet3.xml" Id="R5974cedb1e43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F4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8" hidden="0" customWidth="1"/>
    <x:col min="4" max="4" width="18" hidden="0" customWidth="1"/>
    <x:col min="5" max="5" width="25" hidden="0" customWidth="1"/>
    <x:col min="6" max="6" width="3" hidden="0" customWidth="1"/>
    <x:col min="7" max="7" width="43" hidden="0" customWidth="1"/>
    <x:col min="8" max="8" width="20" hidden="0" customWidth="1"/>
  </x:cols>
  <x:sheetData>
    <x:row r="1" ht="21" customHeight="1">
      <x:c r="B1" s="2"/>
      <x:c r="C1" s="2"/>
      <x:c r="D1" s="2"/>
      <x:c r="E1" s="2"/>
      <x:c r="F1" s="2"/>
      <x:c r="G1" s="2"/>
      <x:c r="H1" s="2"/>
    </x:row>
    <x:row r="2" ht="28" customHeight="1">
      <x:c r="B2" s="3" t="str">
        <x:v>Oceanides STP cost comparison: Maynilad building</x:v>
      </x:c>
      <x:c r="C2" s="2"/>
      <x:c r="D2" s="2"/>
      <x:c r="E2" s="2"/>
      <x:c r="F2" s="2"/>
      <x:c r="G2" s="2"/>
      <x:c r="H2" s="2"/>
    </x:row>
    <x:row r="3" ht="21" customHeight="1">
      <x:c r="B3" s="4"/>
      <x:c r="C3" s="4"/>
      <x:c r="D3" s="4"/>
      <x:c r="E3" s="4"/>
      <x:c r="F3" s="4"/>
      <x:c r="G3" s="4"/>
      <x:c r="H3" s="4"/>
    </x:row>
    <x:row r="4" ht="21" customHeight="1">
      <x:c r="B4" s="5" t="str">
        <x:v>Current building. Discharge route and required limits need written confirmation.</x:v>
      </x:c>
      <x:c r="C4" s="2"/>
      <x:c r="D4" s="2"/>
      <x:c r="E4" s="2"/>
      <x:c r="F4" s="2"/>
      <x:c r="G4" s="2"/>
      <x:c r="H4" s="2"/>
    </x:row>
    <x:row r="5" ht="21" customHeight="1">
      <x:c r="B5" s="6" t="str">
        <x:v>Concept worksheet. No lab data, confirmed flow, site plans, supplier quotation or engineering design supplied.</x:v>
      </x:c>
      <x:c r="C5" s="2"/>
      <x:c r="D5" s="2"/>
      <x:c r="E5" s="2"/>
      <x:c r="F5" s="2"/>
      <x:c r="G5" s="2"/>
      <x:c r="H5" s="2"/>
    </x:row>
    <x:row r="6" ht="21" customHeight="1">
      <x:c r="B6" s="2"/>
      <x:c r="C6" s="2"/>
      <x:c r="D6" s="2"/>
      <x:c r="E6" s="2"/>
      <x:c r="F6" s="2"/>
      <x:c r="G6" s="2"/>
      <x:c r="H6" s="2"/>
    </x:row>
    <x:row r="7" ht="21" customHeight="1">
      <x:c r="B7" s="7" t="str">
        <x:v>Three-year comparison (PHP)</x:v>
      </x:c>
      <x:c r="C7" s="2"/>
      <x:c r="D7" s="2"/>
      <x:c r="E7" s="2"/>
      <x:c r="F7" s="2"/>
      <x:c r="G7" s="2"/>
      <x:c r="H7" s="2"/>
    </x:row>
    <x:row r="8" ht="21" customHeight="1">
      <x:c r="B8" s="2" t="str">
        <x:v>Current setup, three-year cost</x:v>
      </x:c>
      <x:c r="C8" s="2"/>
      <x:c r="D8" s="2"/>
      <x:c r="E8" s="12" t="str">
        <x:f>IF(AND(OR(C18="VAT inclusive",C18="VAT exclusive"),COUNT(C47:E47)=3,ISNUMBER(C67)),SUM(C47:E47,C67),"")</x:f>
      </x:c>
      <x:c r="F8" s="2"/>
      <x:c r="G8" s="2"/>
      <x:c r="H8" s="2"/>
    </x:row>
    <x:row r="9" ht="21" customHeight="1">
      <x:c r="B9" s="2" t="str">
        <x:v>Proposed setup, three-year cost</x:v>
      </x:c>
      <x:c r="C9" s="2"/>
      <x:c r="D9" s="2"/>
      <x:c r="E9" s="12" t="str">
        <x:f>IF(AND(OR(C18="VAT inclusive",C18="VAT exclusive"),ISNUMBER(C33),COUNT(C60:E60)=3,ISNUMBER(D67)),SUM(C33,C60:E60,D67),"")</x:f>
      </x:c>
      <x:c r="F9" s="2"/>
      <x:c r="G9" s="2"/>
      <x:c r="H9" s="2"/>
    </x:row>
    <x:row r="10" ht="21" customHeight="1">
      <x:c r="B10" s="17" t="str">
        <x:v>Current less proposed cost</x:v>
      </x:c>
      <x:c r="C10" s="17"/>
      <x:c r="D10" s="17"/>
      <x:c r="E10" s="18" t="str">
        <x:f>IF(COUNT(E8:E9)=2,E8-E9,"")</x:f>
      </x:c>
      <x:c r="F10" s="2"/>
      <x:c r="G10" s="2" t="str">
        <x:v>Positive difference = proposed cost is lower.</x:v>
      </x:c>
      <x:c r="H10" s="2"/>
    </x:row>
    <x:row r="11" ht="21" customHeight="1">
      <x:c r="B11" s="10" t="str">
        <x:v>Difference as % of current cost</x:v>
      </x:c>
      <x:c r="C11" s="10"/>
      <x:c r="D11" s="10"/>
      <x:c r="E11" s="13" t="str">
        <x:f>IF(COUNT(E8:E9)=2,IF(E8=0,"n.a.",E10/E8),"")</x:f>
      </x:c>
      <x:c r="F11" s="2"/>
      <x:c r="G11" s="2" t="str">
        <x:v>Negative difference = proposed cost is higher.</x:v>
      </x:c>
      <x:c r="H11" s="2"/>
    </x:row>
    <x:row r="12" ht="21" customHeight="1">
      <x:c r="B12" s="2" t="str">
        <x:v>Proposed installed CAPEX</x:v>
      </x:c>
      <x:c r="C12" s="2"/>
      <x:c r="D12" s="2"/>
      <x:c r="E12" s="12" t="str">
        <x:f>IF(ISNUMBER(C33),C33,"")</x:f>
      </x:c>
      <x:c r="F12" s="2"/>
      <x:c r="G12" s="2" t="str">
        <x:v>Zero current cost makes the percentage n.a.</x:v>
      </x:c>
      <x:c r="H12" s="2"/>
    </x:row>
    <x:row r="13" ht="21" customHeight="1">
      <x:c r="B13" s="2" t="str">
        <x:v>Comparison</x:v>
      </x:c>
      <x:c r="C13" s="2"/>
      <x:c r="D13" s="2"/>
      <x:c r="E13" s="14" t="str">
        <x:f>IF(ISNUMBER(E10),IF(E10&gt;0,"Proposed cost lower",IF(E10&lt;0,"Proposed cost higher","Equal cost")),"Awaiting cost data")</x:f>
        <x:v>Awaiting cost data</x:v>
      </x:c>
      <x:c r="F13" s="2"/>
      <x:c r="G13" s="2"/>
      <x:c r="H13" s="2"/>
    </x:row>
    <x:row r="14" ht="21" customHeight="1">
      <x:c r="B14" s="2" t="str">
        <x:v>Input status</x:v>
      </x:c>
      <x:c r="C14" s="2"/>
      <x:c r="D14" s="2"/>
      <x:c r="E14" s="14" t="str">
        <x:f>IF(COUNTA(C25:C32,C38:E46,C51:E59,C64:D66)=0,"Missing cost inputs",IF(OR(COUNT(C25:C32,C38:E46,C51:E59,C64:D66)&lt;&gt;COUNTA(C25:C32,C38:E46,C51:E59,C64:D66),COUNTIFS(C25:C32,"&lt;0")+COUNTIFS(C38:E46,"&lt;0")+COUNTIFS(C51:E59,"&lt;0")+COUNTIFS(C64:D66,"&lt;0")&gt;0),"Invalid cost input",IF(COUNT(C25:C32,C38:E46,C51:E59,C64:D66)&lt;68,"Missing cost inputs",IF(C18="","Missing VAT basis",IF(OR(C18="VAT inclusive",C18="VAT exclusive"),"Numeric inputs complete","Invalid VAT basis")))))</x:f>
        <x:v>Missing cost inputs</x:v>
      </x:c>
      <x:c r="F14" s="2"/>
      <x:c r="G14" s="2"/>
      <x:c r="H14" s="2"/>
    </x:row>
    <x:row r="15" ht="21" customHeight="1">
      <x:c r="B15" s="2"/>
      <x:c r="C15" s="2"/>
      <x:c r="D15" s="2"/>
      <x:c r="E15" s="2"/>
      <x:c r="F15" s="2"/>
      <x:c r="G15" s="2"/>
      <x:c r="H15" s="2"/>
    </x:row>
    <x:row r="16" ht="21" customHeight="1">
      <x:c r="B16" s="2" t="str">
        <x:v>Enter every cost in PHP. Enter 0 only when confirmed not applicable. Blank means unknown.</x:v>
      </x:c>
      <x:c r="C16" s="2"/>
      <x:c r="D16" s="2"/>
      <x:c r="E16" s="2"/>
      <x:c r="F16" s="2"/>
      <x:c r="G16" s="2"/>
      <x:c r="H16" s="2"/>
    </x:row>
    <x:row r="17" ht="21" customHeight="1">
      <x:c r="B17" s="2" t="str">
        <x:v>Blue text is editable. Black text is calculated. Estimates need a source and an explicit data basis.</x:v>
      </x:c>
      <x:c r="C17" s="2"/>
      <x:c r="D17" s="2"/>
      <x:c r="E17" s="2"/>
      <x:c r="F17" s="2"/>
      <x:c r="G17" s="2"/>
      <x:c r="H17" s="2"/>
    </x:row>
    <x:row r="18" ht="21" customHeight="1">
      <x:c r="B18" s="2" t="str">
        <x:v>VAT basis for all cost inputs</x:v>
      </x:c>
      <x:c r="C18" s="20"/>
      <x:c r="D18" s="2"/>
      <x:c r="E18" s="2"/>
      <x:c r="F18" s="2"/>
      <x:c r="G18" s="2" t="str">
        <x:v>Use one consistent VAT basis.</x:v>
      </x:c>
      <x:c r="H18" s="2"/>
    </x:row>
    <x:row r="19" ht="21" customHeight="1">
      <x:c r="B19" s="2" t="str">
        <x:v>Comparison period / start date</x:v>
      </x:c>
      <x:c r="C19" s="21"/>
      <x:c r="D19" s="21"/>
      <x:c r="E19" s="21"/>
      <x:c r="F19" s="2"/>
      <x:c r="G19" s="2" t="str">
        <x:v>Specify the periods before client submission.</x:v>
      </x:c>
      <x:c r="H19" s="2"/>
    </x:row>
    <x:row r="20" ht="21" customHeight="1">
      <x:c r="B20" s="2"/>
      <x:c r="C20" s="2"/>
      <x:c r="D20" s="2"/>
      <x:c r="E20" s="2"/>
      <x:c r="F20" s="2"/>
      <x:c r="G20" s="2"/>
      <x:c r="H20" s="2"/>
    </x:row>
    <x:row r="21" ht="21" customHeight="1">
      <x:c r="B21" s="5" t="str">
        <x:v>Sources: cite the document, quote number and date. Map each year to its source and actual, quote or estimate basis.</x:v>
      </x:c>
      <x:c r="C21" s="2"/>
      <x:c r="D21" s="2"/>
      <x:c r="E21" s="2"/>
      <x:c r="F21" s="2"/>
      <x:c r="G21" s="2"/>
      <x:c r="H21" s="2"/>
    </x:row>
    <x:row r="22" ht="21" customHeight="1">
      <x:c r="B22" s="5" t="str">
        <x:v>If periods use different bases, select Mixed (see source) and identify the basis for each period in the source field.</x:v>
      </x:c>
      <x:c r="C22" s="2"/>
      <x:c r="D22" s="2"/>
      <x:c r="E22" s="2"/>
      <x:c r="F22" s="2"/>
      <x:c r="G22" s="2"/>
      <x:c r="H22" s="2"/>
    </x:row>
    <x:row r="23" ht="24" customHeight="1">
      <x:c r="B23" s="23" t="str">
        <x:v>Proposed installed CAPEX</x:v>
      </x:c>
      <x:c r="C23" s="23"/>
      <x:c r="D23" s="23"/>
      <x:c r="E23" s="23"/>
      <x:c r="F23" s="23"/>
      <x:c r="G23" s="23"/>
      <x:c r="H23" s="23"/>
    </x:row>
    <x:row r="24" ht="25" customHeight="1">
      <x:c r="B24" s="26" t="str">
        <x:v>Cost item</x:v>
      </x:c>
      <x:c r="C24" s="26" t="str">
        <x:v>Amount (PHP)</x:v>
      </x:c>
      <x:c r="D24" s="26" t="str"/>
      <x:c r="E24" s="26" t="str"/>
      <x:c r="F24" s="2" t="str"/>
      <x:c r="G24" s="26" t="str">
        <x:v>Source or reference</x:v>
      </x:c>
      <x:c r="H24" s="26" t="str">
        <x:v>Data basis</x:v>
      </x:c>
    </x:row>
    <x:row r="25" ht="21" customHeight="1">
      <x:c r="B25" s="2" t="str">
        <x:v>Treatment equipment</x:v>
      </x:c>
      <x:c r="C25" s="28"/>
      <x:c r="D25" s="2"/>
      <x:c r="E25" s="2"/>
      <x:c r="F25" s="2"/>
      <x:c r="G25" s="21"/>
      <x:c r="H25" s="21"/>
    </x:row>
    <x:row r="26" ht="21" customHeight="1">
      <x:c r="B26" s="2" t="str">
        <x:v>Civil and structural works</x:v>
      </x:c>
      <x:c r="C26" s="28"/>
      <x:c r="D26" s="2"/>
      <x:c r="E26" s="2"/>
      <x:c r="F26" s="2"/>
      <x:c r="G26" s="21"/>
      <x:c r="H26" s="21"/>
    </x:row>
    <x:row r="27" ht="21" customHeight="1">
      <x:c r="B27" s="2" t="str">
        <x:v>Electrical and piping works</x:v>
      </x:c>
      <x:c r="C27" s="28"/>
      <x:c r="D27" s="2"/>
      <x:c r="E27" s="2"/>
      <x:c r="F27" s="2"/>
      <x:c r="G27" s="21"/>
      <x:c r="H27" s="21"/>
    </x:row>
    <x:row r="28" ht="21" customHeight="1">
      <x:c r="B28" s="2" t="str">
        <x:v>Engineering and design</x:v>
      </x:c>
      <x:c r="C28" s="28"/>
      <x:c r="D28" s="2"/>
      <x:c r="E28" s="2"/>
      <x:c r="F28" s="2"/>
      <x:c r="G28" s="21"/>
      <x:c r="H28" s="21"/>
    </x:row>
    <x:row r="29" ht="21" customHeight="1">
      <x:c r="B29" s="2" t="str">
        <x:v>Commissioning and initial testing</x:v>
      </x:c>
      <x:c r="C29" s="28"/>
      <x:c r="D29" s="2"/>
      <x:c r="E29" s="2"/>
      <x:c r="F29" s="2"/>
      <x:c r="G29" s="21"/>
      <x:c r="H29" s="21"/>
    </x:row>
    <x:row r="30" ht="21" customHeight="1">
      <x:c r="B30" s="2" t="str">
        <x:v>Approvals and other site works</x:v>
      </x:c>
      <x:c r="C30" s="28"/>
      <x:c r="D30" s="2"/>
      <x:c r="E30" s="2"/>
      <x:c r="F30" s="2"/>
      <x:c r="G30" s="21"/>
      <x:c r="H30" s="21"/>
    </x:row>
    <x:row r="31" ht="21" customHeight="1">
      <x:c r="B31" s="2" t="str">
        <x:v>Transport and mobilization</x:v>
      </x:c>
      <x:c r="C31" s="28"/>
      <x:c r="D31" s="2"/>
      <x:c r="E31" s="2"/>
      <x:c r="F31" s="2"/>
      <x:c r="G31" s="21"/>
      <x:c r="H31" s="21"/>
    </x:row>
    <x:row r="32" ht="21" customHeight="1">
      <x:c r="B32" s="2" t="str">
        <x:v>Other installed costs</x:v>
      </x:c>
      <x:c r="C32" s="28"/>
      <x:c r="D32" s="2"/>
      <x:c r="E32" s="2"/>
      <x:c r="F32" s="2"/>
      <x:c r="G32" s="21"/>
      <x:c r="H32" s="21"/>
    </x:row>
    <x:row r="33" ht="21" customHeight="1">
      <x:c r="B33" s="30" t="str">
        <x:v>Subtotal</x:v>
      </x:c>
      <x:c r="C33" s="31" t="str">
        <x:f>IF(AND(COUNT(C25:C32)=8,COUNTIFS(C25:C32,"&lt;0")=0),SUM(C25:C32),"")</x:f>
      </x:c>
      <x:c r="D33" s="31"/>
      <x:c r="E33" s="31"/>
      <x:c r="F33" s="2"/>
      <x:c r="G33" s="2" t="str">
        <x:v>Exclude costs already included in another quote line.</x:v>
      </x:c>
      <x:c r="H33" s="2"/>
    </x:row>
    <x:row r="34" ht="21" customHeight="1">
      <x:c r="B34" s="2"/>
      <x:c r="C34" s="2"/>
      <x:c r="D34" s="2"/>
      <x:c r="E34" s="2"/>
      <x:c r="F34" s="2"/>
      <x:c r="G34" s="2"/>
      <x:c r="H34" s="2"/>
    </x:row>
    <x:row r="35" ht="21" customHeight="1">
      <x:c r="B35" s="2"/>
      <x:c r="C35" s="2"/>
      <x:c r="D35" s="2"/>
      <x:c r="E35" s="2"/>
      <x:c r="F35" s="2"/>
      <x:c r="G35" s="2"/>
      <x:c r="H35" s="2"/>
    </x:row>
    <x:row r="36" ht="24" customHeight="1">
      <x:c r="B36" s="23" t="str">
        <x:v>Current setup: annual operating costs (PHP per year)</x:v>
      </x:c>
      <x:c r="C36" s="23"/>
      <x:c r="D36" s="23"/>
      <x:c r="E36" s="23"/>
      <x:c r="F36" s="23"/>
      <x:c r="G36" s="23"/>
      <x:c r="H36" s="23"/>
    </x:row>
    <x:row r="37" ht="25" customHeight="1">
      <x:c r="B37" s="26" t="str">
        <x:v>Cost item</x:v>
      </x:c>
      <x:c r="C37" s="26" t="str">
        <x:v>Year 1</x:v>
      </x:c>
      <x:c r="D37" s="26" t="str">
        <x:v>Year 2</x:v>
      </x:c>
      <x:c r="E37" s="26" t="str">
        <x:v>Year 3</x:v>
      </x:c>
      <x:c r="F37" s="2" t="str"/>
      <x:c r="G37" s="26" t="str">
        <x:v>Source or reference</x:v>
      </x:c>
      <x:c r="H37" s="26" t="str">
        <x:v>Data basis</x:v>
      </x:c>
    </x:row>
    <x:row r="38" ht="21" customHeight="1">
      <x:c r="B38" s="2" t="str">
        <x:v>Liquid wastewater hauling</x:v>
      </x:c>
      <x:c r="C38" s="28"/>
      <x:c r="D38" s="28"/>
      <x:c r="E38" s="28"/>
      <x:c r="F38" s="2"/>
      <x:c r="G38" s="21"/>
      <x:c r="H38" s="21"/>
    </x:row>
    <x:row r="39" ht="21" customHeight="1">
      <x:c r="B39" s="2" t="str">
        <x:v>Sludge and screenings disposal</x:v>
      </x:c>
      <x:c r="C39" s="28"/>
      <x:c r="D39" s="28"/>
      <x:c r="E39" s="28"/>
      <x:c r="F39" s="2"/>
      <x:c r="G39" s="21"/>
      <x:c r="H39" s="21"/>
    </x:row>
    <x:row r="40" ht="21" customHeight="1">
      <x:c r="B40" s="2" t="str">
        <x:v>Sewer / wastewater service fees</x:v>
      </x:c>
      <x:c r="C40" s="28"/>
      <x:c r="D40" s="28"/>
      <x:c r="E40" s="28"/>
      <x:c r="F40" s="2"/>
      <x:c r="G40" s="21"/>
      <x:c r="H40" s="21"/>
    </x:row>
    <x:row r="41" ht="21" customHeight="1">
      <x:c r="B41" s="2" t="str">
        <x:v>Power</x:v>
      </x:c>
      <x:c r="C41" s="28"/>
      <x:c r="D41" s="28"/>
      <x:c r="E41" s="28"/>
      <x:c r="F41" s="2"/>
      <x:c r="G41" s="21"/>
      <x:c r="H41" s="21"/>
    </x:row>
    <x:row r="42" ht="21" customHeight="1">
      <x:c r="B42" s="2" t="str">
        <x:v>Labor or operator</x:v>
      </x:c>
      <x:c r="C42" s="28"/>
      <x:c r="D42" s="28"/>
      <x:c r="E42" s="28"/>
      <x:c r="F42" s="2"/>
      <x:c r="G42" s="21"/>
      <x:c r="H42" s="21"/>
    </x:row>
    <x:row r="43" ht="21" customHeight="1">
      <x:c r="B43" s="2" t="str">
        <x:v>Maintenance and service</x:v>
      </x:c>
      <x:c r="C43" s="28"/>
      <x:c r="D43" s="28"/>
      <x:c r="E43" s="28"/>
      <x:c r="F43" s="2"/>
      <x:c r="G43" s="21"/>
      <x:c r="H43" s="21"/>
    </x:row>
    <x:row r="44" ht="21" customHeight="1">
      <x:c r="B44" s="2" t="str">
        <x:v>Consumables</x:v>
      </x:c>
      <x:c r="C44" s="28"/>
      <x:c r="D44" s="28"/>
      <x:c r="E44" s="28"/>
      <x:c r="F44" s="2"/>
      <x:c r="G44" s="21"/>
      <x:c r="H44" s="21"/>
    </x:row>
    <x:row r="45" ht="21" customHeight="1">
      <x:c r="B45" s="2" t="str">
        <x:v>Laboratory testing</x:v>
      </x:c>
      <x:c r="C45" s="28"/>
      <x:c r="D45" s="28"/>
      <x:c r="E45" s="28"/>
      <x:c r="F45" s="2"/>
      <x:c r="G45" s="21"/>
      <x:c r="H45" s="21"/>
    </x:row>
    <x:row r="46" ht="21" customHeight="1">
      <x:c r="B46" s="2" t="str">
        <x:v>Other ongoing costs</x:v>
      </x:c>
      <x:c r="C46" s="28"/>
      <x:c r="D46" s="28"/>
      <x:c r="E46" s="28"/>
      <x:c r="F46" s="2"/>
      <x:c r="G46" s="21"/>
      <x:c r="H46" s="21"/>
    </x:row>
    <x:row r="47" ht="21" customHeight="1">
      <x:c r="B47" s="30" t="str">
        <x:v>Subtotal</x:v>
      </x:c>
      <x:c r="C47" s="31" t="str">
        <x:f>IF(AND(COUNT(C38:C46)=9,COUNTIFS(C38:C46,"&lt;0")=0),SUM(C38:C46),"")</x:f>
      </x:c>
      <x:c r="D47" s="31" t="str">
        <x:f>IF(AND(COUNT(D38:D46)=9,COUNTIFS(D38:D46,"&lt;0")=0),SUM(D38:D46),"")</x:f>
      </x:c>
      <x:c r="E47" s="31" t="str">
        <x:f>IF(AND(COUNT(E38:E46)=9,COUNTIFS(E38:E46,"&lt;0")=0),SUM(E38:E46),"")</x:f>
      </x:c>
      <x:c r="F47" s="2"/>
      <x:c r="G47" s="2" t="str">
        <x:v>Use recent bills to support the current setup.</x:v>
      </x:c>
      <x:c r="H47" s="2"/>
    </x:row>
    <x:row r="48" ht="21" customHeight="1">
      <x:c r="B48" s="2"/>
      <x:c r="C48" s="2"/>
      <x:c r="D48" s="2"/>
      <x:c r="E48" s="2"/>
      <x:c r="F48" s="2"/>
      <x:c r="G48" s="2"/>
      <x:c r="H48" s="2"/>
    </x:row>
    <x:row r="49" ht="24" customHeight="1">
      <x:c r="B49" s="23" t="str">
        <x:v>Proposed setup: annual operating costs (PHP per year)</x:v>
      </x:c>
      <x:c r="C49" s="23"/>
      <x:c r="D49" s="23"/>
      <x:c r="E49" s="23"/>
      <x:c r="F49" s="23"/>
      <x:c r="G49" s="23"/>
      <x:c r="H49" s="23"/>
    </x:row>
    <x:row r="50" ht="25" customHeight="1">
      <x:c r="B50" s="26" t="str">
        <x:v>Cost item</x:v>
      </x:c>
      <x:c r="C50" s="26" t="str">
        <x:v>Year 1</x:v>
      </x:c>
      <x:c r="D50" s="26" t="str">
        <x:v>Year 2</x:v>
      </x:c>
      <x:c r="E50" s="26" t="str">
        <x:v>Year 3</x:v>
      </x:c>
      <x:c r="F50" s="2" t="str"/>
      <x:c r="G50" s="26" t="str">
        <x:v>Source or reference</x:v>
      </x:c>
      <x:c r="H50" s="26" t="str">
        <x:v>Data basis</x:v>
      </x:c>
    </x:row>
    <x:row r="51" ht="21" customHeight="1">
      <x:c r="B51" s="2" t="str">
        <x:v>Liquid wastewater hauling</x:v>
      </x:c>
      <x:c r="C51" s="28"/>
      <x:c r="D51" s="28"/>
      <x:c r="E51" s="28"/>
      <x:c r="F51" s="2"/>
      <x:c r="G51" s="21"/>
      <x:c r="H51" s="21"/>
    </x:row>
    <x:row r="52" ht="21" customHeight="1">
      <x:c r="B52" s="2" t="str">
        <x:v>Sludge and screenings disposal</x:v>
      </x:c>
      <x:c r="C52" s="28"/>
      <x:c r="D52" s="28"/>
      <x:c r="E52" s="28"/>
      <x:c r="F52" s="2"/>
      <x:c r="G52" s="21"/>
      <x:c r="H52" s="21"/>
    </x:row>
    <x:row r="53" ht="21" customHeight="1">
      <x:c r="B53" s="2" t="str">
        <x:v>Sewer / wastewater service fees</x:v>
      </x:c>
      <x:c r="C53" s="28"/>
      <x:c r="D53" s="28"/>
      <x:c r="E53" s="28"/>
      <x:c r="F53" s="2"/>
      <x:c r="G53" s="21"/>
      <x:c r="H53" s="21"/>
    </x:row>
    <x:row r="54" ht="21" customHeight="1">
      <x:c r="B54" s="2" t="str">
        <x:v>Power</x:v>
      </x:c>
      <x:c r="C54" s="28"/>
      <x:c r="D54" s="28"/>
      <x:c r="E54" s="28"/>
      <x:c r="F54" s="2"/>
      <x:c r="G54" s="21"/>
      <x:c r="H54" s="21"/>
    </x:row>
    <x:row r="55" ht="21" customHeight="1">
      <x:c r="B55" s="2" t="str">
        <x:v>Labor or operator</x:v>
      </x:c>
      <x:c r="C55" s="28"/>
      <x:c r="D55" s="28"/>
      <x:c r="E55" s="28"/>
      <x:c r="F55" s="2"/>
      <x:c r="G55" s="21"/>
      <x:c r="H55" s="21"/>
    </x:row>
    <x:row r="56" ht="21" customHeight="1">
      <x:c r="B56" s="2" t="str">
        <x:v>Maintenance and service</x:v>
      </x:c>
      <x:c r="C56" s="28"/>
      <x:c r="D56" s="28"/>
      <x:c r="E56" s="28"/>
      <x:c r="F56" s="2"/>
      <x:c r="G56" s="21"/>
      <x:c r="H56" s="21"/>
    </x:row>
    <x:row r="57" ht="21" customHeight="1">
      <x:c r="B57" s="2" t="str">
        <x:v>Consumables</x:v>
      </x:c>
      <x:c r="C57" s="28"/>
      <x:c r="D57" s="28"/>
      <x:c r="E57" s="28"/>
      <x:c r="F57" s="2"/>
      <x:c r="G57" s="21"/>
      <x:c r="H57" s="21"/>
    </x:row>
    <x:row r="58" ht="21" customHeight="1">
      <x:c r="B58" s="2" t="str">
        <x:v>Laboratory testing</x:v>
      </x:c>
      <x:c r="C58" s="28"/>
      <x:c r="D58" s="28"/>
      <x:c r="E58" s="28"/>
      <x:c r="F58" s="2"/>
      <x:c r="G58" s="21"/>
      <x:c r="H58" s="21"/>
    </x:row>
    <x:row r="59" ht="21" customHeight="1">
      <x:c r="B59" s="2" t="str">
        <x:v>Other ongoing costs</x:v>
      </x:c>
      <x:c r="C59" s="28"/>
      <x:c r="D59" s="28"/>
      <x:c r="E59" s="28"/>
      <x:c r="F59" s="2"/>
      <x:c r="G59" s="21"/>
      <x:c r="H59" s="21"/>
    </x:row>
    <x:row r="60" ht="21" customHeight="1">
      <x:c r="B60" s="30" t="str">
        <x:v>Subtotal</x:v>
      </x:c>
      <x:c r="C60" s="31" t="str">
        <x:f>IF(AND(COUNT(C51:C59)=9,COUNTIFS(C51:C59,"&lt;0")=0),SUM(C51:C59),"")</x:f>
      </x:c>
      <x:c r="D60" s="31" t="str">
        <x:f>IF(AND(COUNT(D51:D59)=9,COUNTIFS(D51:D59,"&lt;0")=0),SUM(D51:D59),"")</x:f>
      </x:c>
      <x:c r="E60" s="31" t="str">
        <x:f>IF(AND(COUNT(E51:E59)=9,COUNTIFS(E51:E59,"&lt;0")=0),SUM(E51:E59),"")</x:f>
      </x:c>
      <x:c r="F60" s="2"/>
      <x:c r="G60" s="2" t="str">
        <x:v>STP installation does not establish exemption from fees.</x:v>
      </x:c>
      <x:c r="H60" s="2"/>
    </x:row>
    <x:row r="61" ht="21" customHeight="1">
      <x:c r="B61" s="2"/>
      <x:c r="C61" s="2"/>
      <x:c r="D61" s="2"/>
      <x:c r="E61" s="2"/>
      <x:c r="F61" s="2"/>
      <x:c r="G61" s="2"/>
      <x:c r="H61" s="2"/>
    </x:row>
    <x:row r="62" ht="24" customHeight="1">
      <x:c r="B62" s="23" t="str">
        <x:v>Additional nonannual costs over the whole three-year period (PHP)</x:v>
      </x:c>
      <x:c r="C62" s="23"/>
      <x:c r="D62" s="23"/>
      <x:c r="E62" s="23"/>
      <x:c r="F62" s="23"/>
      <x:c r="G62" s="23"/>
      <x:c r="H62" s="23"/>
    </x:row>
    <x:row r="63" ht="25" customHeight="1">
      <x:c r="B63" s="26" t="str">
        <x:v>Cost item</x:v>
      </x:c>
      <x:c r="C63" s="26" t="str">
        <x:v>Current</x:v>
      </x:c>
      <x:c r="D63" s="26" t="str">
        <x:v>Proposed</x:v>
      </x:c>
      <x:c r="E63" s="26" t="str"/>
      <x:c r="F63" s="2" t="str"/>
      <x:c r="G63" s="26" t="str">
        <x:v>Source or reference</x:v>
      </x:c>
      <x:c r="H63" s="26" t="str">
        <x:v>Data basis</x:v>
      </x:c>
    </x:row>
    <x:row r="64" ht="21" customHeight="1">
      <x:c r="B64" s="2" t="str">
        <x:v>Major equipment replacements</x:v>
      </x:c>
      <x:c r="C64" s="28"/>
      <x:c r="D64" s="28"/>
      <x:c r="E64" s="2"/>
      <x:c r="F64" s="2"/>
      <x:c r="G64" s="21"/>
      <x:c r="H64" s="21"/>
    </x:row>
    <x:row r="65" ht="21" customHeight="1">
      <x:c r="B65" s="2" t="str">
        <x:v>Overhaul</x:v>
      </x:c>
      <x:c r="C65" s="28"/>
      <x:c r="D65" s="28"/>
      <x:c r="E65" s="2"/>
      <x:c r="F65" s="2"/>
      <x:c r="G65" s="21"/>
      <x:c r="H65" s="21"/>
    </x:row>
    <x:row r="66" ht="21" customHeight="1">
      <x:c r="B66" s="2" t="str">
        <x:v>Other nonannual costs</x:v>
      </x:c>
      <x:c r="C66" s="28"/>
      <x:c r="D66" s="28"/>
      <x:c r="E66" s="2"/>
      <x:c r="F66" s="2"/>
      <x:c r="G66" s="21"/>
      <x:c r="H66" s="21"/>
    </x:row>
    <x:row r="67" ht="21" customHeight="1">
      <x:c r="B67" s="30" t="str">
        <x:v>Subtotal</x:v>
      </x:c>
      <x:c r="C67" s="31" t="str">
        <x:f>IF(AND(COUNT(C64:C66)=3,COUNTIFS(C64:C66,"&lt;0")=0),SUM(C64:C66),"")</x:f>
      </x:c>
      <x:c r="D67" s="31" t="str">
        <x:f>IF(AND(COUNT(D64:D66)=3,COUNTIFS(D64:D66,"&lt;0")=0),SUM(D64:D66),"")</x:f>
      </x:c>
      <x:c r="E67" s="31"/>
      <x:c r="F67" s="2"/>
      <x:c r="G67" s="2" t="str">
        <x:v>Do not repeat annual costs or installed CAPEX.</x:v>
      </x:c>
      <x:c r="H67" s="2"/>
    </x:row>
    <x:row r="68" ht="21" customHeight="1">
      <x:c r="B68" s="2"/>
      <x:c r="C68" s="2"/>
      <x:c r="D68" s="2"/>
      <x:c r="E68" s="2"/>
      <x:c r="F68" s="2"/>
      <x:c r="G68" s="2"/>
      <x:c r="H68" s="2"/>
    </x:row>
    <x:row r="69" ht="21" customHeight="1">
      <x:c r="B69" s="2"/>
      <x:c r="C69" s="2"/>
      <x:c r="D69" s="2"/>
      <x:c r="E69" s="2"/>
      <x:c r="F69" s="2"/>
      <x:c r="G69" s="2"/>
      <x:c r="H69" s="2"/>
    </x:row>
    <x:row r="70" ht="21" customHeight="1">
      <x:c r="B70" s="7" t="str">
        <x:v>Model limits</x:v>
      </x:c>
      <x:c r="C70" s="2"/>
      <x:c r="D70" s="2"/>
      <x:c r="E70" s="2"/>
      <x:c r="F70" s="2"/>
      <x:c r="G70" s="2"/>
      <x:c r="H70" s="2"/>
    </x:row>
    <x:row r="71" ht="21" customHeight="1">
      <x:c r="B71" s="6" t="str">
        <x:v>Simple undiscounted cost comparison. This is not a final quotation or a treatment-performance guarantee.</x:v>
      </x:c>
      <x:c r="C71" s="2"/>
      <x:c r="D71" s="2"/>
      <x:c r="E71" s="2"/>
      <x:c r="F71" s="2"/>
      <x:c r="G71" s="2"/>
      <x:c r="H71" s="2"/>
    </x:row>
    <x:row r="72" ht="21" customHeight="1">
      <x:c r="B72" s="6" t="str">
        <x:v>Year 1, Year 2 and Year 3 are consecutive 12-month periods. Enter annual totals, not quarterly or monthly bills.</x:v>
      </x:c>
      <x:c r="C72" s="2"/>
      <x:c r="D72" s="2"/>
      <x:c r="E72" s="2"/>
      <x:c r="F72" s="2"/>
      <x:c r="G72" s="2"/>
      <x:c r="H72" s="2"/>
    </x:row>
    <x:row r="73" ht="21" customHeight="1">
      <x:c r="B73" s="6" t="str">
        <x:v>Enter quoted or evidenced increases directly in the later-year columns. No inflation or finance rate is assumed.</x:v>
      </x:c>
      <x:c r="C73" s="2"/>
      <x:c r="D73" s="2"/>
      <x:c r="E73" s="2"/>
      <x:c r="F73" s="2"/>
      <x:c r="G73" s="2"/>
      <x:c r="H73" s="2"/>
    </x:row>
    <x:row r="74" ht="21" customHeight="1">
      <x:c r="B74" s="6" t="str">
        <x:v>Financing, taxes beyond the selected VAT basis and discounting require a separate agreed cash-flow analysis.</x:v>
      </x:c>
      <x:c r="C74" s="2"/>
      <x:c r="D74" s="2"/>
      <x:c r="E74" s="2"/>
      <x:c r="F74" s="2"/>
      <x:c r="G74" s="2"/>
      <x:c r="H74" s="2"/>
    </x:row>
    <x:row r="75" ht="21" customHeight="1">
      <x:c r="B75" s="6" t="str">
        <x:v>No payback period is calculated. Savings and payback need confirmed scope, cash-flow timing and operating data.</x:v>
      </x:c>
      <x:c r="C75" s="2"/>
      <x:c r="D75" s="2"/>
      <x:c r="E75" s="2"/>
      <x:c r="F75" s="2"/>
      <x:c r="G75" s="2"/>
      <x:c r="H75" s="2"/>
    </x:row>
    <x:row r="76" ht="21" customHeight="1">
      <x:c r="B76" s="6" t="str">
        <x:v>Keep actual bills, supplier quotes and estimates distinct. An estimate is not proof of savings.</x:v>
      </x:c>
      <x:c r="C76" s="2"/>
      <x:c r="D76" s="2"/>
      <x:c r="E76" s="2"/>
      <x:c r="F76" s="2"/>
      <x:c r="G76" s="2"/>
      <x:c r="H76" s="2"/>
    </x:row>
    <x:row r="77" ht="21" customHeight="1">
      <x:c r="B77" s="6" t="str">
        <x:v>Check power, staffing, maintenance, testing and waste-removal assumptions with the proposed technical partner.</x:v>
      </x:c>
      <x:c r="C77" s="2"/>
      <x:c r="D77" s="2"/>
      <x:c r="E77" s="2"/>
      <x:c r="F77" s="2"/>
      <x:c r="G77" s="2"/>
      <x:c r="H77" s="2"/>
    </x:row>
    <x:row r="78" ht="21" customHeight="1">
      <x:c r="B78" s="6" t="str">
        <x:v>Numeric input status does not verify engineering suitability, price accuracy, source completeness or compliance.</x:v>
      </x:c>
      <x:c r="C78" s="2"/>
      <x:c r="D78" s="2"/>
      <x:c r="E78" s="2"/>
      <x:c r="F78" s="2"/>
      <x:c r="G78" s="2"/>
      <x:c r="H78" s="2"/>
    </x:row>
    <x:row r="79" ht="21" customHeight="1">
      <x:c r="B79" s="2"/>
      <x:c r="C79" s="2"/>
      <x:c r="D79" s="2"/>
      <x:c r="E79" s="2"/>
      <x:c r="F79" s="2"/>
      <x:c r="G79" s="2"/>
      <x:c r="H79" s="2"/>
    </x:row>
  </x:sheetData>
  <x:conditionalFormatting sqref="E14:E14">
    <x:cfRule type="containsText" dxfId="0" priority="1" operator="containsText" text="Invalid"/>
    <x:cfRule type="containsText" dxfId="1" priority="2" operator="containsText" text="Missing"/>
  </x:conditionalFormatting>
  <x:conditionalFormatting sqref="C25:C32">
    <x:cfRule type="expression" dxfId="2" priority="3">
      <x:formula>AND(C25&lt;&gt;"",OR(NOT(ISNUMBER(C25)),C25&lt;0))</x:formula>
    </x:cfRule>
  </x:conditionalFormatting>
  <x:conditionalFormatting sqref="C38:E46">
    <x:cfRule type="expression" dxfId="3" priority="4">
      <x:formula>AND(C38&lt;&gt;"",OR(NOT(ISNUMBER(C38)),C38&lt;0))</x:formula>
    </x:cfRule>
  </x:conditionalFormatting>
  <x:conditionalFormatting sqref="C51:E59">
    <x:cfRule type="expression" dxfId="4" priority="5">
      <x:formula>AND(C51&lt;&gt;"",OR(NOT(ISNUMBER(C51)),C51&lt;0))</x:formula>
    </x:cfRule>
  </x:conditionalFormatting>
  <x:conditionalFormatting sqref="C64:D66">
    <x:cfRule type="expression" dxfId="5" priority="6">
      <x:formula>AND(C64&lt;&gt;"",OR(NOT(ISNUMBER(C64)),C64&lt;0))</x:formula>
    </x:cfRule>
  </x:conditionalFormatting>
  <x:dataValidations count="5">
    <x:dataValidation type="list" errorStyle="stop" showErrorMessage="1" errorTitle="Choose one VAT basis" error="Use VAT inclusive or VAT exclusive consistently across all costs." sqref="C18">
      <x:formula1>"VAT inclusive,VAT exclusive"</x:formula1>
    </x:dataValidation>
    <x:dataValidation type="list" errorStyle="stop" showErrorMessage="1" errorTitle="Select a data basis" error="Select the actual, quoted, estimated, confirmed N/A or mixed basis. Map mixed periods in the source field." sqref="H25:H32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38:H46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51:H59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64:H66">
      <x:formula1>"Actual,Quote,Estimate,N/A confirmed,Mixed (see source)"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A1F4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8" hidden="0" customWidth="1"/>
    <x:col min="4" max="4" width="18" hidden="0" customWidth="1"/>
    <x:col min="5" max="5" width="25" hidden="0" customWidth="1"/>
    <x:col min="6" max="6" width="3" hidden="0" customWidth="1"/>
    <x:col min="7" max="7" width="43" hidden="0" customWidth="1"/>
    <x:col min="8" max="8" width="20" hidden="0" customWidth="1"/>
  </x:cols>
  <x:sheetData>
    <x:row r="1" ht="21" customHeight="1">
      <x:c r="B1" s="2"/>
      <x:c r="C1" s="2"/>
      <x:c r="D1" s="2"/>
      <x:c r="E1" s="2"/>
      <x:c r="F1" s="2"/>
      <x:c r="G1" s="2"/>
      <x:c r="H1" s="2"/>
    </x:row>
    <x:row r="2" ht="28" customHeight="1">
      <x:c r="B2" s="3" t="str">
        <x:v>Oceanides STP cost comparison: Carmona building</x:v>
      </x:c>
      <x:c r="C2" s="2"/>
      <x:c r="D2" s="2"/>
      <x:c r="E2" s="2"/>
      <x:c r="F2" s="2"/>
      <x:c r="G2" s="2"/>
      <x:c r="H2" s="2"/>
    </x:row>
    <x:row r="3" ht="21" customHeight="1">
      <x:c r="B3" s="4"/>
      <x:c r="C3" s="4"/>
      <x:c r="D3" s="4"/>
      <x:c r="E3" s="4"/>
      <x:c r="F3" s="4"/>
      <x:c r="G3" s="4"/>
      <x:c r="H3" s="4"/>
    </x:row>
    <x:row r="4" ht="21" customHeight="1">
      <x:c r="B4" s="5" t="str">
        <x:v>Reported capacity: approximately 30 m3/day. Unconfirmed. Not a design basis.</x:v>
      </x:c>
      <x:c r="C4" s="2"/>
      <x:c r="D4" s="2"/>
      <x:c r="E4" s="2"/>
      <x:c r="F4" s="2"/>
      <x:c r="G4" s="2"/>
      <x:c r="H4" s="2"/>
    </x:row>
    <x:row r="5" ht="21" customHeight="1">
      <x:c r="B5" s="6" t="str">
        <x:v>Concept worksheet. No lab data, confirmed flow, site plans, supplier quotation or engineering design supplied.</x:v>
      </x:c>
      <x:c r="C5" s="2"/>
      <x:c r="D5" s="2"/>
      <x:c r="E5" s="2"/>
      <x:c r="F5" s="2"/>
      <x:c r="G5" s="2"/>
      <x:c r="H5" s="2"/>
    </x:row>
    <x:row r="6" ht="21" customHeight="1">
      <x:c r="B6" s="2"/>
      <x:c r="C6" s="2"/>
      <x:c r="D6" s="2"/>
      <x:c r="E6" s="2"/>
      <x:c r="F6" s="2"/>
      <x:c r="G6" s="2"/>
      <x:c r="H6" s="2"/>
    </x:row>
    <x:row r="7" ht="21" customHeight="1">
      <x:c r="B7" s="7" t="str">
        <x:v>Three-year comparison (PHP)</x:v>
      </x:c>
      <x:c r="C7" s="2"/>
      <x:c r="D7" s="2"/>
      <x:c r="E7" s="2"/>
      <x:c r="F7" s="2"/>
      <x:c r="G7" s="2"/>
      <x:c r="H7" s="2"/>
    </x:row>
    <x:row r="8" ht="21" customHeight="1">
      <x:c r="B8" s="2" t="str">
        <x:v>Current setup, three-year cost</x:v>
      </x:c>
      <x:c r="C8" s="2"/>
      <x:c r="D8" s="2"/>
      <x:c r="E8" s="12" t="str">
        <x:f>IF(AND(OR(C18="VAT inclusive",C18="VAT exclusive"),COUNT(C47:E47)=3,ISNUMBER(C67)),SUM(C47:E47,C67),"")</x:f>
      </x:c>
      <x:c r="F8" s="2"/>
      <x:c r="G8" s="2"/>
      <x:c r="H8" s="2"/>
    </x:row>
    <x:row r="9" ht="21" customHeight="1">
      <x:c r="B9" s="2" t="str">
        <x:v>Proposed setup, three-year cost</x:v>
      </x:c>
      <x:c r="C9" s="2"/>
      <x:c r="D9" s="2"/>
      <x:c r="E9" s="12" t="str">
        <x:f>IF(AND(OR(C18="VAT inclusive",C18="VAT exclusive"),ISNUMBER(C33),COUNT(C60:E60)=3,ISNUMBER(D67)),SUM(C33,C60:E60,D67),"")</x:f>
      </x:c>
      <x:c r="F9" s="2"/>
      <x:c r="G9" s="2"/>
      <x:c r="H9" s="2"/>
    </x:row>
    <x:row r="10" ht="21" customHeight="1">
      <x:c r="B10" s="17" t="str">
        <x:v>Current less proposed cost</x:v>
      </x:c>
      <x:c r="C10" s="17"/>
      <x:c r="D10" s="17"/>
      <x:c r="E10" s="18" t="str">
        <x:f>IF(COUNT(E8:E9)=2,E8-E9,"")</x:f>
      </x:c>
      <x:c r="F10" s="2"/>
      <x:c r="G10" s="2" t="str">
        <x:v>Positive difference = proposed cost is lower.</x:v>
      </x:c>
      <x:c r="H10" s="2"/>
    </x:row>
    <x:row r="11" ht="21" customHeight="1">
      <x:c r="B11" s="10" t="str">
        <x:v>Difference as % of current cost</x:v>
      </x:c>
      <x:c r="C11" s="10"/>
      <x:c r="D11" s="10"/>
      <x:c r="E11" s="13" t="str">
        <x:f>IF(COUNT(E8:E9)=2,IF(E8=0,"n.a.",E10/E8),"")</x:f>
      </x:c>
      <x:c r="F11" s="2"/>
      <x:c r="G11" s="2" t="str">
        <x:v>Negative difference = proposed cost is higher.</x:v>
      </x:c>
      <x:c r="H11" s="2"/>
    </x:row>
    <x:row r="12" ht="21" customHeight="1">
      <x:c r="B12" s="2" t="str">
        <x:v>Proposed installed CAPEX</x:v>
      </x:c>
      <x:c r="C12" s="2"/>
      <x:c r="D12" s="2"/>
      <x:c r="E12" s="12" t="str">
        <x:f>IF(ISNUMBER(C33),C33,"")</x:f>
      </x:c>
      <x:c r="F12" s="2"/>
      <x:c r="G12" s="2" t="str">
        <x:v>Zero current cost makes the percentage n.a.</x:v>
      </x:c>
      <x:c r="H12" s="2"/>
    </x:row>
    <x:row r="13" ht="21" customHeight="1">
      <x:c r="B13" s="2" t="str">
        <x:v>Comparison</x:v>
      </x:c>
      <x:c r="C13" s="2"/>
      <x:c r="D13" s="2"/>
      <x:c r="E13" s="14" t="str">
        <x:f>IF(ISNUMBER(E10),IF(E10&gt;0,"Proposed cost lower",IF(E10&lt;0,"Proposed cost higher","Equal cost")),"Awaiting cost data")</x:f>
        <x:v>Awaiting cost data</x:v>
      </x:c>
      <x:c r="F13" s="2"/>
      <x:c r="G13" s="2"/>
      <x:c r="H13" s="2"/>
    </x:row>
    <x:row r="14" ht="21" customHeight="1">
      <x:c r="B14" s="2" t="str">
        <x:v>Input status</x:v>
      </x:c>
      <x:c r="C14" s="2"/>
      <x:c r="D14" s="2"/>
      <x:c r="E14" s="14" t="str">
        <x:f>IF(COUNTA(C25:C32,C38:E46,C51:E59,C64:D66)=0,"Missing cost inputs",IF(OR(COUNT(C25:C32,C38:E46,C51:E59,C64:D66)&lt;&gt;COUNTA(C25:C32,C38:E46,C51:E59,C64:D66),COUNTIFS(C25:C32,"&lt;0")+COUNTIFS(C38:E46,"&lt;0")+COUNTIFS(C51:E59,"&lt;0")+COUNTIFS(C64:D66,"&lt;0")&gt;0),"Invalid cost input",IF(COUNT(C25:C32,C38:E46,C51:E59,C64:D66)&lt;68,"Missing cost inputs",IF(C18="","Missing VAT basis",IF(OR(C18="VAT inclusive",C18="VAT exclusive"),"Numeric inputs complete","Invalid VAT basis")))))</x:f>
        <x:v>Missing cost inputs</x:v>
      </x:c>
      <x:c r="F14" s="2"/>
      <x:c r="G14" s="2"/>
      <x:c r="H14" s="2"/>
    </x:row>
    <x:row r="15" ht="21" customHeight="1">
      <x:c r="B15" s="2"/>
      <x:c r="C15" s="2"/>
      <x:c r="D15" s="2"/>
      <x:c r="E15" s="2"/>
      <x:c r="F15" s="2"/>
      <x:c r="G15" s="2"/>
      <x:c r="H15" s="2"/>
    </x:row>
    <x:row r="16" ht="21" customHeight="1">
      <x:c r="B16" s="2" t="str">
        <x:v>Enter every cost in PHP. Enter 0 only when confirmed not applicable. Blank means unknown.</x:v>
      </x:c>
      <x:c r="C16" s="2"/>
      <x:c r="D16" s="2"/>
      <x:c r="E16" s="2"/>
      <x:c r="F16" s="2"/>
      <x:c r="G16" s="2"/>
      <x:c r="H16" s="2"/>
    </x:row>
    <x:row r="17" ht="21" customHeight="1">
      <x:c r="B17" s="2" t="str">
        <x:v>Blue text is editable. Black text is calculated. Estimates need a source and an explicit data basis.</x:v>
      </x:c>
      <x:c r="C17" s="2"/>
      <x:c r="D17" s="2"/>
      <x:c r="E17" s="2"/>
      <x:c r="F17" s="2"/>
      <x:c r="G17" s="2"/>
      <x:c r="H17" s="2"/>
    </x:row>
    <x:row r="18" ht="21" customHeight="1">
      <x:c r="B18" s="2" t="str">
        <x:v>VAT basis for all cost inputs</x:v>
      </x:c>
      <x:c r="C18" s="20"/>
      <x:c r="D18" s="2"/>
      <x:c r="E18" s="2"/>
      <x:c r="F18" s="2"/>
      <x:c r="G18" s="2" t="str">
        <x:v>Use one consistent VAT basis.</x:v>
      </x:c>
      <x:c r="H18" s="2"/>
    </x:row>
    <x:row r="19" ht="21" customHeight="1">
      <x:c r="B19" s="2" t="str">
        <x:v>Comparison period / start date</x:v>
      </x:c>
      <x:c r="C19" s="21"/>
      <x:c r="D19" s="21"/>
      <x:c r="E19" s="21"/>
      <x:c r="F19" s="2"/>
      <x:c r="G19" s="2" t="str">
        <x:v>Specify the periods before client submission.</x:v>
      </x:c>
      <x:c r="H19" s="2"/>
    </x:row>
    <x:row r="20" ht="21" customHeight="1">
      <x:c r="B20" s="2"/>
      <x:c r="C20" s="2"/>
      <x:c r="D20" s="2"/>
      <x:c r="E20" s="2"/>
      <x:c r="F20" s="2"/>
      <x:c r="G20" s="2"/>
      <x:c r="H20" s="2"/>
    </x:row>
    <x:row r="21" ht="21" customHeight="1">
      <x:c r="B21" s="5" t="str">
        <x:v>Sources: cite the document, quote number and date. Map each year to its source and actual, quote or estimate basis.</x:v>
      </x:c>
      <x:c r="C21" s="2"/>
      <x:c r="D21" s="2"/>
      <x:c r="E21" s="2"/>
      <x:c r="F21" s="2"/>
      <x:c r="G21" s="2"/>
      <x:c r="H21" s="2"/>
    </x:row>
    <x:row r="22" ht="21" customHeight="1">
      <x:c r="B22" s="5" t="str">
        <x:v>If periods use different bases, select Mixed (see source) and identify the basis for each period in the source field.</x:v>
      </x:c>
      <x:c r="C22" s="2"/>
      <x:c r="D22" s="2"/>
      <x:c r="E22" s="2"/>
      <x:c r="F22" s="2"/>
      <x:c r="G22" s="2"/>
      <x:c r="H22" s="2"/>
    </x:row>
    <x:row r="23" ht="24" customHeight="1">
      <x:c r="B23" s="23" t="str">
        <x:v>Proposed installed CAPEX</x:v>
      </x:c>
      <x:c r="C23" s="23"/>
      <x:c r="D23" s="23"/>
      <x:c r="E23" s="23"/>
      <x:c r="F23" s="23"/>
      <x:c r="G23" s="23"/>
      <x:c r="H23" s="23"/>
    </x:row>
    <x:row r="24" ht="25" customHeight="1">
      <x:c r="B24" s="26" t="str">
        <x:v>Cost item</x:v>
      </x:c>
      <x:c r="C24" s="26" t="str">
        <x:v>Amount (PHP)</x:v>
      </x:c>
      <x:c r="D24" s="26" t="str"/>
      <x:c r="E24" s="26" t="str"/>
      <x:c r="F24" s="2" t="str"/>
      <x:c r="G24" s="26" t="str">
        <x:v>Source or reference</x:v>
      </x:c>
      <x:c r="H24" s="26" t="str">
        <x:v>Data basis</x:v>
      </x:c>
    </x:row>
    <x:row r="25" ht="21" customHeight="1">
      <x:c r="B25" s="2" t="str">
        <x:v>Treatment equipment</x:v>
      </x:c>
      <x:c r="C25" s="28"/>
      <x:c r="D25" s="2"/>
      <x:c r="E25" s="2"/>
      <x:c r="F25" s="2"/>
      <x:c r="G25" s="21"/>
      <x:c r="H25" s="21"/>
    </x:row>
    <x:row r="26" ht="21" customHeight="1">
      <x:c r="B26" s="2" t="str">
        <x:v>Civil and structural works</x:v>
      </x:c>
      <x:c r="C26" s="28"/>
      <x:c r="D26" s="2"/>
      <x:c r="E26" s="2"/>
      <x:c r="F26" s="2"/>
      <x:c r="G26" s="21"/>
      <x:c r="H26" s="21"/>
    </x:row>
    <x:row r="27" ht="21" customHeight="1">
      <x:c r="B27" s="2" t="str">
        <x:v>Electrical and piping works</x:v>
      </x:c>
      <x:c r="C27" s="28"/>
      <x:c r="D27" s="2"/>
      <x:c r="E27" s="2"/>
      <x:c r="F27" s="2"/>
      <x:c r="G27" s="21"/>
      <x:c r="H27" s="21"/>
    </x:row>
    <x:row r="28" ht="21" customHeight="1">
      <x:c r="B28" s="2" t="str">
        <x:v>Engineering and design</x:v>
      </x:c>
      <x:c r="C28" s="28"/>
      <x:c r="D28" s="2"/>
      <x:c r="E28" s="2"/>
      <x:c r="F28" s="2"/>
      <x:c r="G28" s="21"/>
      <x:c r="H28" s="21"/>
    </x:row>
    <x:row r="29" ht="21" customHeight="1">
      <x:c r="B29" s="2" t="str">
        <x:v>Commissioning and initial testing</x:v>
      </x:c>
      <x:c r="C29" s="28"/>
      <x:c r="D29" s="2"/>
      <x:c r="E29" s="2"/>
      <x:c r="F29" s="2"/>
      <x:c r="G29" s="21"/>
      <x:c r="H29" s="21"/>
    </x:row>
    <x:row r="30" ht="21" customHeight="1">
      <x:c r="B30" s="2" t="str">
        <x:v>Approvals and other site works</x:v>
      </x:c>
      <x:c r="C30" s="28"/>
      <x:c r="D30" s="2"/>
      <x:c r="E30" s="2"/>
      <x:c r="F30" s="2"/>
      <x:c r="G30" s="21"/>
      <x:c r="H30" s="21"/>
    </x:row>
    <x:row r="31" ht="21" customHeight="1">
      <x:c r="B31" s="2" t="str">
        <x:v>Transport and mobilization</x:v>
      </x:c>
      <x:c r="C31" s="28"/>
      <x:c r="D31" s="2"/>
      <x:c r="E31" s="2"/>
      <x:c r="F31" s="2"/>
      <x:c r="G31" s="21"/>
      <x:c r="H31" s="21"/>
    </x:row>
    <x:row r="32" ht="21" customHeight="1">
      <x:c r="B32" s="2" t="str">
        <x:v>Other installed costs</x:v>
      </x:c>
      <x:c r="C32" s="28"/>
      <x:c r="D32" s="2"/>
      <x:c r="E32" s="2"/>
      <x:c r="F32" s="2"/>
      <x:c r="G32" s="21"/>
      <x:c r="H32" s="21"/>
    </x:row>
    <x:row r="33" ht="21" customHeight="1">
      <x:c r="B33" s="30" t="str">
        <x:v>Subtotal</x:v>
      </x:c>
      <x:c r="C33" s="31" t="str">
        <x:f>IF(AND(COUNT(C25:C32)=8,COUNTIFS(C25:C32,"&lt;0")=0),SUM(C25:C32),"")</x:f>
      </x:c>
      <x:c r="D33" s="31"/>
      <x:c r="E33" s="31"/>
      <x:c r="F33" s="2"/>
      <x:c r="G33" s="2" t="str">
        <x:v>Exclude costs already included in another quote line.</x:v>
      </x:c>
      <x:c r="H33" s="2"/>
    </x:row>
    <x:row r="34" ht="21" customHeight="1">
      <x:c r="B34" s="2"/>
      <x:c r="C34" s="2"/>
      <x:c r="D34" s="2"/>
      <x:c r="E34" s="2"/>
      <x:c r="F34" s="2"/>
      <x:c r="G34" s="2"/>
      <x:c r="H34" s="2"/>
    </x:row>
    <x:row r="35" ht="21" customHeight="1">
      <x:c r="B35" s="2"/>
      <x:c r="C35" s="2"/>
      <x:c r="D35" s="2"/>
      <x:c r="E35" s="2"/>
      <x:c r="F35" s="2"/>
      <x:c r="G35" s="2"/>
      <x:c r="H35" s="2"/>
    </x:row>
    <x:row r="36" ht="24" customHeight="1">
      <x:c r="B36" s="23" t="str">
        <x:v>Current setup: annual operating costs (PHP per year)</x:v>
      </x:c>
      <x:c r="C36" s="23"/>
      <x:c r="D36" s="23"/>
      <x:c r="E36" s="23"/>
      <x:c r="F36" s="23"/>
      <x:c r="G36" s="23"/>
      <x:c r="H36" s="23"/>
    </x:row>
    <x:row r="37" ht="25" customHeight="1">
      <x:c r="B37" s="26" t="str">
        <x:v>Cost item</x:v>
      </x:c>
      <x:c r="C37" s="26" t="str">
        <x:v>Year 1</x:v>
      </x:c>
      <x:c r="D37" s="26" t="str">
        <x:v>Year 2</x:v>
      </x:c>
      <x:c r="E37" s="26" t="str">
        <x:v>Year 3</x:v>
      </x:c>
      <x:c r="F37" s="2" t="str"/>
      <x:c r="G37" s="26" t="str">
        <x:v>Source or reference</x:v>
      </x:c>
      <x:c r="H37" s="26" t="str">
        <x:v>Data basis</x:v>
      </x:c>
    </x:row>
    <x:row r="38" ht="21" customHeight="1">
      <x:c r="B38" s="2" t="str">
        <x:v>Liquid wastewater hauling</x:v>
      </x:c>
      <x:c r="C38" s="28"/>
      <x:c r="D38" s="28"/>
      <x:c r="E38" s="28"/>
      <x:c r="F38" s="2"/>
      <x:c r="G38" s="21"/>
      <x:c r="H38" s="21"/>
    </x:row>
    <x:row r="39" ht="21" customHeight="1">
      <x:c r="B39" s="2" t="str">
        <x:v>Sludge and screenings disposal</x:v>
      </x:c>
      <x:c r="C39" s="28"/>
      <x:c r="D39" s="28"/>
      <x:c r="E39" s="28"/>
      <x:c r="F39" s="2"/>
      <x:c r="G39" s="21"/>
      <x:c r="H39" s="21"/>
    </x:row>
    <x:row r="40" ht="21" customHeight="1">
      <x:c r="B40" s="2" t="str">
        <x:v>Sewer / wastewater service fees</x:v>
      </x:c>
      <x:c r="C40" s="28"/>
      <x:c r="D40" s="28"/>
      <x:c r="E40" s="28"/>
      <x:c r="F40" s="2"/>
      <x:c r="G40" s="21"/>
      <x:c r="H40" s="21"/>
    </x:row>
    <x:row r="41" ht="21" customHeight="1">
      <x:c r="B41" s="2" t="str">
        <x:v>Power</x:v>
      </x:c>
      <x:c r="C41" s="28"/>
      <x:c r="D41" s="28"/>
      <x:c r="E41" s="28"/>
      <x:c r="F41" s="2"/>
      <x:c r="G41" s="21"/>
      <x:c r="H41" s="21"/>
    </x:row>
    <x:row r="42" ht="21" customHeight="1">
      <x:c r="B42" s="2" t="str">
        <x:v>Labor or operator</x:v>
      </x:c>
      <x:c r="C42" s="28"/>
      <x:c r="D42" s="28"/>
      <x:c r="E42" s="28"/>
      <x:c r="F42" s="2"/>
      <x:c r="G42" s="21"/>
      <x:c r="H42" s="21"/>
    </x:row>
    <x:row r="43" ht="21" customHeight="1">
      <x:c r="B43" s="2" t="str">
        <x:v>Maintenance and service</x:v>
      </x:c>
      <x:c r="C43" s="28"/>
      <x:c r="D43" s="28"/>
      <x:c r="E43" s="28"/>
      <x:c r="F43" s="2"/>
      <x:c r="G43" s="21"/>
      <x:c r="H43" s="21"/>
    </x:row>
    <x:row r="44" ht="21" customHeight="1">
      <x:c r="B44" s="2" t="str">
        <x:v>Consumables</x:v>
      </x:c>
      <x:c r="C44" s="28"/>
      <x:c r="D44" s="28"/>
      <x:c r="E44" s="28"/>
      <x:c r="F44" s="2"/>
      <x:c r="G44" s="21"/>
      <x:c r="H44" s="21"/>
    </x:row>
    <x:row r="45" ht="21" customHeight="1">
      <x:c r="B45" s="2" t="str">
        <x:v>Laboratory testing</x:v>
      </x:c>
      <x:c r="C45" s="28"/>
      <x:c r="D45" s="28"/>
      <x:c r="E45" s="28"/>
      <x:c r="F45" s="2"/>
      <x:c r="G45" s="21"/>
      <x:c r="H45" s="21"/>
    </x:row>
    <x:row r="46" ht="21" customHeight="1">
      <x:c r="B46" s="2" t="str">
        <x:v>Other ongoing costs</x:v>
      </x:c>
      <x:c r="C46" s="28"/>
      <x:c r="D46" s="28"/>
      <x:c r="E46" s="28"/>
      <x:c r="F46" s="2"/>
      <x:c r="G46" s="21"/>
      <x:c r="H46" s="21"/>
    </x:row>
    <x:row r="47" ht="21" customHeight="1">
      <x:c r="B47" s="30" t="str">
        <x:v>Subtotal</x:v>
      </x:c>
      <x:c r="C47" s="31" t="str">
        <x:f>IF(AND(COUNT(C38:C46)=9,COUNTIFS(C38:C46,"&lt;0")=0),SUM(C38:C46),"")</x:f>
      </x:c>
      <x:c r="D47" s="31" t="str">
        <x:f>IF(AND(COUNT(D38:D46)=9,COUNTIFS(D38:D46,"&lt;0")=0),SUM(D38:D46),"")</x:f>
      </x:c>
      <x:c r="E47" s="31" t="str">
        <x:f>IF(AND(COUNT(E38:E46)=9,COUNTIFS(E38:E46,"&lt;0")=0),SUM(E38:E46),"")</x:f>
      </x:c>
      <x:c r="F47" s="2"/>
      <x:c r="G47" s="2" t="str">
        <x:v>Use recent bills to support the current setup.</x:v>
      </x:c>
      <x:c r="H47" s="2"/>
    </x:row>
    <x:row r="48" ht="21" customHeight="1">
      <x:c r="B48" s="2"/>
      <x:c r="C48" s="2"/>
      <x:c r="D48" s="2"/>
      <x:c r="E48" s="2"/>
      <x:c r="F48" s="2"/>
      <x:c r="G48" s="2"/>
      <x:c r="H48" s="2"/>
    </x:row>
    <x:row r="49" ht="24" customHeight="1">
      <x:c r="B49" s="23" t="str">
        <x:v>Proposed setup: annual operating costs (PHP per year)</x:v>
      </x:c>
      <x:c r="C49" s="23"/>
      <x:c r="D49" s="23"/>
      <x:c r="E49" s="23"/>
      <x:c r="F49" s="23"/>
      <x:c r="G49" s="23"/>
      <x:c r="H49" s="23"/>
    </x:row>
    <x:row r="50" ht="25" customHeight="1">
      <x:c r="B50" s="26" t="str">
        <x:v>Cost item</x:v>
      </x:c>
      <x:c r="C50" s="26" t="str">
        <x:v>Year 1</x:v>
      </x:c>
      <x:c r="D50" s="26" t="str">
        <x:v>Year 2</x:v>
      </x:c>
      <x:c r="E50" s="26" t="str">
        <x:v>Year 3</x:v>
      </x:c>
      <x:c r="F50" s="2" t="str"/>
      <x:c r="G50" s="26" t="str">
        <x:v>Source or reference</x:v>
      </x:c>
      <x:c r="H50" s="26" t="str">
        <x:v>Data basis</x:v>
      </x:c>
    </x:row>
    <x:row r="51" ht="21" customHeight="1">
      <x:c r="B51" s="2" t="str">
        <x:v>Liquid wastewater hauling</x:v>
      </x:c>
      <x:c r="C51" s="28"/>
      <x:c r="D51" s="28"/>
      <x:c r="E51" s="28"/>
      <x:c r="F51" s="2"/>
      <x:c r="G51" s="21"/>
      <x:c r="H51" s="21"/>
    </x:row>
    <x:row r="52" ht="21" customHeight="1">
      <x:c r="B52" s="2" t="str">
        <x:v>Sludge and screenings disposal</x:v>
      </x:c>
      <x:c r="C52" s="28"/>
      <x:c r="D52" s="28"/>
      <x:c r="E52" s="28"/>
      <x:c r="F52" s="2"/>
      <x:c r="G52" s="21"/>
      <x:c r="H52" s="21"/>
    </x:row>
    <x:row r="53" ht="21" customHeight="1">
      <x:c r="B53" s="2" t="str">
        <x:v>Sewer / wastewater service fees</x:v>
      </x:c>
      <x:c r="C53" s="28"/>
      <x:c r="D53" s="28"/>
      <x:c r="E53" s="28"/>
      <x:c r="F53" s="2"/>
      <x:c r="G53" s="21"/>
      <x:c r="H53" s="21"/>
    </x:row>
    <x:row r="54" ht="21" customHeight="1">
      <x:c r="B54" s="2" t="str">
        <x:v>Power</x:v>
      </x:c>
      <x:c r="C54" s="28"/>
      <x:c r="D54" s="28"/>
      <x:c r="E54" s="28"/>
      <x:c r="F54" s="2"/>
      <x:c r="G54" s="21"/>
      <x:c r="H54" s="21"/>
    </x:row>
    <x:row r="55" ht="21" customHeight="1">
      <x:c r="B55" s="2" t="str">
        <x:v>Labor or operator</x:v>
      </x:c>
      <x:c r="C55" s="28"/>
      <x:c r="D55" s="28"/>
      <x:c r="E55" s="28"/>
      <x:c r="F55" s="2"/>
      <x:c r="G55" s="21"/>
      <x:c r="H55" s="21"/>
    </x:row>
    <x:row r="56" ht="21" customHeight="1">
      <x:c r="B56" s="2" t="str">
        <x:v>Maintenance and service</x:v>
      </x:c>
      <x:c r="C56" s="28"/>
      <x:c r="D56" s="28"/>
      <x:c r="E56" s="28"/>
      <x:c r="F56" s="2"/>
      <x:c r="G56" s="21"/>
      <x:c r="H56" s="21"/>
    </x:row>
    <x:row r="57" ht="21" customHeight="1">
      <x:c r="B57" s="2" t="str">
        <x:v>Consumables</x:v>
      </x:c>
      <x:c r="C57" s="28"/>
      <x:c r="D57" s="28"/>
      <x:c r="E57" s="28"/>
      <x:c r="F57" s="2"/>
      <x:c r="G57" s="21"/>
      <x:c r="H57" s="21"/>
    </x:row>
    <x:row r="58" ht="21" customHeight="1">
      <x:c r="B58" s="2" t="str">
        <x:v>Laboratory testing</x:v>
      </x:c>
      <x:c r="C58" s="28"/>
      <x:c r="D58" s="28"/>
      <x:c r="E58" s="28"/>
      <x:c r="F58" s="2"/>
      <x:c r="G58" s="21"/>
      <x:c r="H58" s="21"/>
    </x:row>
    <x:row r="59" ht="21" customHeight="1">
      <x:c r="B59" s="2" t="str">
        <x:v>Other ongoing costs</x:v>
      </x:c>
      <x:c r="C59" s="28"/>
      <x:c r="D59" s="28"/>
      <x:c r="E59" s="28"/>
      <x:c r="F59" s="2"/>
      <x:c r="G59" s="21"/>
      <x:c r="H59" s="21"/>
    </x:row>
    <x:row r="60" ht="21" customHeight="1">
      <x:c r="B60" s="30" t="str">
        <x:v>Subtotal</x:v>
      </x:c>
      <x:c r="C60" s="31" t="str">
        <x:f>IF(AND(COUNT(C51:C59)=9,COUNTIFS(C51:C59,"&lt;0")=0),SUM(C51:C59),"")</x:f>
      </x:c>
      <x:c r="D60" s="31" t="str">
        <x:f>IF(AND(COUNT(D51:D59)=9,COUNTIFS(D51:D59,"&lt;0")=0),SUM(D51:D59),"")</x:f>
      </x:c>
      <x:c r="E60" s="31" t="str">
        <x:f>IF(AND(COUNT(E51:E59)=9,COUNTIFS(E51:E59,"&lt;0")=0),SUM(E51:E59),"")</x:f>
      </x:c>
      <x:c r="F60" s="2"/>
      <x:c r="G60" s="2" t="str">
        <x:v>STP installation does not establish exemption from fees.</x:v>
      </x:c>
      <x:c r="H60" s="2"/>
    </x:row>
    <x:row r="61" ht="21" customHeight="1">
      <x:c r="B61" s="2"/>
      <x:c r="C61" s="2"/>
      <x:c r="D61" s="2"/>
      <x:c r="E61" s="2"/>
      <x:c r="F61" s="2"/>
      <x:c r="G61" s="2"/>
      <x:c r="H61" s="2"/>
    </x:row>
    <x:row r="62" ht="24" customHeight="1">
      <x:c r="B62" s="23" t="str">
        <x:v>Additional nonannual costs over the whole three-year period (PHP)</x:v>
      </x:c>
      <x:c r="C62" s="23"/>
      <x:c r="D62" s="23"/>
      <x:c r="E62" s="23"/>
      <x:c r="F62" s="23"/>
      <x:c r="G62" s="23"/>
      <x:c r="H62" s="23"/>
    </x:row>
    <x:row r="63" ht="25" customHeight="1">
      <x:c r="B63" s="26" t="str">
        <x:v>Cost item</x:v>
      </x:c>
      <x:c r="C63" s="26" t="str">
        <x:v>Current</x:v>
      </x:c>
      <x:c r="D63" s="26" t="str">
        <x:v>Proposed</x:v>
      </x:c>
      <x:c r="E63" s="26" t="str"/>
      <x:c r="F63" s="2" t="str"/>
      <x:c r="G63" s="26" t="str">
        <x:v>Source or reference</x:v>
      </x:c>
      <x:c r="H63" s="26" t="str">
        <x:v>Data basis</x:v>
      </x:c>
    </x:row>
    <x:row r="64" ht="21" customHeight="1">
      <x:c r="B64" s="2" t="str">
        <x:v>Major equipment replacements</x:v>
      </x:c>
      <x:c r="C64" s="28"/>
      <x:c r="D64" s="28"/>
      <x:c r="E64" s="2"/>
      <x:c r="F64" s="2"/>
      <x:c r="G64" s="21"/>
      <x:c r="H64" s="21"/>
    </x:row>
    <x:row r="65" ht="21" customHeight="1">
      <x:c r="B65" s="2" t="str">
        <x:v>Overhaul</x:v>
      </x:c>
      <x:c r="C65" s="28"/>
      <x:c r="D65" s="28"/>
      <x:c r="E65" s="2"/>
      <x:c r="F65" s="2"/>
      <x:c r="G65" s="21"/>
      <x:c r="H65" s="21"/>
    </x:row>
    <x:row r="66" ht="21" customHeight="1">
      <x:c r="B66" s="2" t="str">
        <x:v>Other nonannual costs</x:v>
      </x:c>
      <x:c r="C66" s="28"/>
      <x:c r="D66" s="28"/>
      <x:c r="E66" s="2"/>
      <x:c r="F66" s="2"/>
      <x:c r="G66" s="21"/>
      <x:c r="H66" s="21"/>
    </x:row>
    <x:row r="67" ht="21" customHeight="1">
      <x:c r="B67" s="30" t="str">
        <x:v>Subtotal</x:v>
      </x:c>
      <x:c r="C67" s="31" t="str">
        <x:f>IF(AND(COUNT(C64:C66)=3,COUNTIFS(C64:C66,"&lt;0")=0),SUM(C64:C66),"")</x:f>
      </x:c>
      <x:c r="D67" s="31" t="str">
        <x:f>IF(AND(COUNT(D64:D66)=3,COUNTIFS(D64:D66,"&lt;0")=0),SUM(D64:D66),"")</x:f>
      </x:c>
      <x:c r="E67" s="31"/>
      <x:c r="F67" s="2"/>
      <x:c r="G67" s="2" t="str">
        <x:v>Do not repeat annual costs or installed CAPEX.</x:v>
      </x:c>
      <x:c r="H67" s="2"/>
    </x:row>
    <x:row r="68" ht="21" customHeight="1">
      <x:c r="B68" s="2"/>
      <x:c r="C68" s="2"/>
      <x:c r="D68" s="2"/>
      <x:c r="E68" s="2"/>
      <x:c r="F68" s="2"/>
      <x:c r="G68" s="2"/>
      <x:c r="H68" s="2"/>
    </x:row>
    <x:row r="69" ht="21" customHeight="1">
      <x:c r="B69" s="2"/>
      <x:c r="C69" s="2"/>
      <x:c r="D69" s="2"/>
      <x:c r="E69" s="2"/>
      <x:c r="F69" s="2"/>
      <x:c r="G69" s="2"/>
      <x:c r="H69" s="2"/>
    </x:row>
    <x:row r="70" ht="21" customHeight="1">
      <x:c r="B70" s="7" t="str">
        <x:v>Model limits</x:v>
      </x:c>
      <x:c r="C70" s="2"/>
      <x:c r="D70" s="2"/>
      <x:c r="E70" s="2"/>
      <x:c r="F70" s="2"/>
      <x:c r="G70" s="2"/>
      <x:c r="H70" s="2"/>
    </x:row>
    <x:row r="71" ht="21" customHeight="1">
      <x:c r="B71" s="6" t="str">
        <x:v>Simple undiscounted cost comparison. This is not a final quotation or a treatment-performance guarantee.</x:v>
      </x:c>
      <x:c r="C71" s="2"/>
      <x:c r="D71" s="2"/>
      <x:c r="E71" s="2"/>
      <x:c r="F71" s="2"/>
      <x:c r="G71" s="2"/>
      <x:c r="H71" s="2"/>
    </x:row>
    <x:row r="72" ht="21" customHeight="1">
      <x:c r="B72" s="6" t="str">
        <x:v>Year 1, Year 2 and Year 3 are consecutive 12-month periods. Enter annual totals, not quarterly or monthly bills.</x:v>
      </x:c>
      <x:c r="C72" s="2"/>
      <x:c r="D72" s="2"/>
      <x:c r="E72" s="2"/>
      <x:c r="F72" s="2"/>
      <x:c r="G72" s="2"/>
      <x:c r="H72" s="2"/>
    </x:row>
    <x:row r="73" ht="21" customHeight="1">
      <x:c r="B73" s="6" t="str">
        <x:v>Enter quoted or evidenced increases directly in the later-year columns. No inflation or finance rate is assumed.</x:v>
      </x:c>
      <x:c r="C73" s="2"/>
      <x:c r="D73" s="2"/>
      <x:c r="E73" s="2"/>
      <x:c r="F73" s="2"/>
      <x:c r="G73" s="2"/>
      <x:c r="H73" s="2"/>
    </x:row>
    <x:row r="74" ht="21" customHeight="1">
      <x:c r="B74" s="6" t="str">
        <x:v>Financing, taxes beyond the selected VAT basis and discounting require a separate agreed cash-flow analysis.</x:v>
      </x:c>
      <x:c r="C74" s="2"/>
      <x:c r="D74" s="2"/>
      <x:c r="E74" s="2"/>
      <x:c r="F74" s="2"/>
      <x:c r="G74" s="2"/>
      <x:c r="H74" s="2"/>
    </x:row>
    <x:row r="75" ht="21" customHeight="1">
      <x:c r="B75" s="6" t="str">
        <x:v>No payback period is calculated. Savings and payback need confirmed scope, cash-flow timing and operating data.</x:v>
      </x:c>
      <x:c r="C75" s="2"/>
      <x:c r="D75" s="2"/>
      <x:c r="E75" s="2"/>
      <x:c r="F75" s="2"/>
      <x:c r="G75" s="2"/>
      <x:c r="H75" s="2"/>
    </x:row>
    <x:row r="76" ht="21" customHeight="1">
      <x:c r="B76" s="6" t="str">
        <x:v>Keep actual bills, supplier quotes and estimates distinct. An estimate is not proof of savings.</x:v>
      </x:c>
      <x:c r="C76" s="2"/>
      <x:c r="D76" s="2"/>
      <x:c r="E76" s="2"/>
      <x:c r="F76" s="2"/>
      <x:c r="G76" s="2"/>
      <x:c r="H76" s="2"/>
    </x:row>
    <x:row r="77" ht="21" customHeight="1">
      <x:c r="B77" s="6" t="str">
        <x:v>Check power, staffing, maintenance, testing and waste-removal assumptions with the proposed technical partner.</x:v>
      </x:c>
      <x:c r="C77" s="2"/>
      <x:c r="D77" s="2"/>
      <x:c r="E77" s="2"/>
      <x:c r="F77" s="2"/>
      <x:c r="G77" s="2"/>
      <x:c r="H77" s="2"/>
    </x:row>
    <x:row r="78" ht="21" customHeight="1">
      <x:c r="B78" s="6" t="str">
        <x:v>Numeric input status does not verify engineering suitability, price accuracy, source completeness or compliance.</x:v>
      </x:c>
      <x:c r="C78" s="2"/>
      <x:c r="D78" s="2"/>
      <x:c r="E78" s="2"/>
      <x:c r="F78" s="2"/>
      <x:c r="G78" s="2"/>
      <x:c r="H78" s="2"/>
    </x:row>
    <x:row r="79" ht="21" customHeight="1">
      <x:c r="B79" s="2"/>
      <x:c r="C79" s="2"/>
      <x:c r="D79" s="2"/>
      <x:c r="E79" s="2"/>
      <x:c r="F79" s="2"/>
      <x:c r="G79" s="2"/>
      <x:c r="H79" s="2"/>
    </x:row>
  </x:sheetData>
  <x:conditionalFormatting sqref="E14:E14">
    <x:cfRule type="containsText" dxfId="6" priority="1" operator="containsText" text="Invalid"/>
    <x:cfRule type="containsText" dxfId="7" priority="2" operator="containsText" text="Missing"/>
  </x:conditionalFormatting>
  <x:conditionalFormatting sqref="C25:C32">
    <x:cfRule type="expression" dxfId="8" priority="3">
      <x:formula>AND(C25&lt;&gt;"",OR(NOT(ISNUMBER(C25)),C25&lt;0))</x:formula>
    </x:cfRule>
  </x:conditionalFormatting>
  <x:conditionalFormatting sqref="C38:E46">
    <x:cfRule type="expression" dxfId="9" priority="4">
      <x:formula>AND(C38&lt;&gt;"",OR(NOT(ISNUMBER(C38)),C38&lt;0))</x:formula>
    </x:cfRule>
  </x:conditionalFormatting>
  <x:conditionalFormatting sqref="C51:E59">
    <x:cfRule type="expression" dxfId="10" priority="5">
      <x:formula>AND(C51&lt;&gt;"",OR(NOT(ISNUMBER(C51)),C51&lt;0))</x:formula>
    </x:cfRule>
  </x:conditionalFormatting>
  <x:conditionalFormatting sqref="C64:D66">
    <x:cfRule type="expression" dxfId="11" priority="6">
      <x:formula>AND(C64&lt;&gt;"",OR(NOT(ISNUMBER(C64)),C64&lt;0))</x:formula>
    </x:cfRule>
  </x:conditionalFormatting>
  <x:dataValidations count="5">
    <x:dataValidation type="list" errorStyle="stop" showErrorMessage="1" errorTitle="Choose one VAT basis" error="Use VAT inclusive or VAT exclusive consistently across all costs." sqref="C18">
      <x:formula1>"VAT inclusive,VAT exclusive"</x:formula1>
    </x:dataValidation>
    <x:dataValidation type="list" errorStyle="stop" showErrorMessage="1" errorTitle="Select a data basis" error="Select the actual, quoted, estimated, confirmed N/A or mixed basis. Map mixed periods in the source field." sqref="H25:H32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38:H46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51:H59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64:H66">
      <x:formula1>"Actual,Quote,Estimate,N/A confirmed,Mixed (see source)"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A1F4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8" hidden="0" customWidth="1"/>
    <x:col min="4" max="4" width="18" hidden="0" customWidth="1"/>
    <x:col min="5" max="5" width="25" hidden="0" customWidth="1"/>
    <x:col min="6" max="6" width="3" hidden="0" customWidth="1"/>
    <x:col min="7" max="7" width="43" hidden="0" customWidth="1"/>
    <x:col min="8" max="8" width="20" hidden="0" customWidth="1"/>
  </x:cols>
  <x:sheetData>
    <x:row r="1" ht="21" customHeight="1">
      <x:c r="B1" s="2"/>
      <x:c r="C1" s="2"/>
      <x:c r="D1" s="2"/>
      <x:c r="E1" s="2"/>
      <x:c r="F1" s="2"/>
      <x:c r="G1" s="2"/>
      <x:c r="H1" s="2"/>
    </x:row>
    <x:row r="2" ht="28" customHeight="1">
      <x:c r="B2" s="3" t="str">
        <x:v>Oceanides STP cost comparison: Carmona subdivision</x:v>
      </x:c>
      <x:c r="C2" s="2"/>
      <x:c r="D2" s="2"/>
      <x:c r="E2" s="2"/>
      <x:c r="F2" s="2"/>
      <x:c r="G2" s="2"/>
      <x:c r="H2" s="2"/>
    </x:row>
    <x:row r="3" ht="21" customHeight="1">
      <x:c r="B3" s="4"/>
      <x:c r="C3" s="4"/>
      <x:c r="D3" s="4"/>
      <x:c r="E3" s="4"/>
      <x:c r="F3" s="4"/>
      <x:c r="G3" s="4"/>
      <x:c r="H3" s="4"/>
    </x:row>
    <x:row r="4" ht="21" customHeight="1">
      <x:c r="B4" s="5" t="str">
        <x:v>Reported capacity: approximately 150 m3/day. Unconfirmed. Not a design basis.</x:v>
      </x:c>
      <x:c r="C4" s="2"/>
      <x:c r="D4" s="2"/>
      <x:c r="E4" s="2"/>
      <x:c r="F4" s="2"/>
      <x:c r="G4" s="2"/>
      <x:c r="H4" s="2"/>
    </x:row>
    <x:row r="5" ht="21" customHeight="1">
      <x:c r="B5" s="6" t="str">
        <x:v>Concept worksheet. No lab data, confirmed flow, site plans, supplier quotation or engineering design supplied.</x:v>
      </x:c>
      <x:c r="C5" s="2"/>
      <x:c r="D5" s="2"/>
      <x:c r="E5" s="2"/>
      <x:c r="F5" s="2"/>
      <x:c r="G5" s="2"/>
      <x:c r="H5" s="2"/>
    </x:row>
    <x:row r="6" ht="21" customHeight="1">
      <x:c r="B6" s="2"/>
      <x:c r="C6" s="2"/>
      <x:c r="D6" s="2"/>
      <x:c r="E6" s="2"/>
      <x:c r="F6" s="2"/>
      <x:c r="G6" s="2"/>
      <x:c r="H6" s="2"/>
    </x:row>
    <x:row r="7" ht="21" customHeight="1">
      <x:c r="B7" s="7" t="str">
        <x:v>Three-year comparison (PHP)</x:v>
      </x:c>
      <x:c r="C7" s="2"/>
      <x:c r="D7" s="2"/>
      <x:c r="E7" s="2"/>
      <x:c r="F7" s="2"/>
      <x:c r="G7" s="2"/>
      <x:c r="H7" s="2"/>
    </x:row>
    <x:row r="8" ht="21" customHeight="1">
      <x:c r="B8" s="2" t="str">
        <x:v>Current setup, three-year cost</x:v>
      </x:c>
      <x:c r="C8" s="2"/>
      <x:c r="D8" s="2"/>
      <x:c r="E8" s="12" t="str">
        <x:f>IF(AND(OR(C18="VAT inclusive",C18="VAT exclusive"),COUNT(C47:E47)=3,ISNUMBER(C67)),SUM(C47:E47,C67),"")</x:f>
      </x:c>
      <x:c r="F8" s="2"/>
      <x:c r="G8" s="2"/>
      <x:c r="H8" s="2"/>
    </x:row>
    <x:row r="9" ht="21" customHeight="1">
      <x:c r="B9" s="2" t="str">
        <x:v>Proposed setup, three-year cost</x:v>
      </x:c>
      <x:c r="C9" s="2"/>
      <x:c r="D9" s="2"/>
      <x:c r="E9" s="12" t="str">
        <x:f>IF(AND(OR(C18="VAT inclusive",C18="VAT exclusive"),ISNUMBER(C33),COUNT(C60:E60)=3,ISNUMBER(D67)),SUM(C33,C60:E60,D67),"")</x:f>
      </x:c>
      <x:c r="F9" s="2"/>
      <x:c r="G9" s="2"/>
      <x:c r="H9" s="2"/>
    </x:row>
    <x:row r="10" ht="21" customHeight="1">
      <x:c r="B10" s="17" t="str">
        <x:v>Current less proposed cost</x:v>
      </x:c>
      <x:c r="C10" s="17"/>
      <x:c r="D10" s="17"/>
      <x:c r="E10" s="18" t="str">
        <x:f>IF(COUNT(E8:E9)=2,E8-E9,"")</x:f>
      </x:c>
      <x:c r="F10" s="2"/>
      <x:c r="G10" s="2" t="str">
        <x:v>Positive difference = proposed cost is lower.</x:v>
      </x:c>
      <x:c r="H10" s="2"/>
    </x:row>
    <x:row r="11" ht="21" customHeight="1">
      <x:c r="B11" s="10" t="str">
        <x:v>Difference as % of current cost</x:v>
      </x:c>
      <x:c r="C11" s="10"/>
      <x:c r="D11" s="10"/>
      <x:c r="E11" s="13" t="str">
        <x:f>IF(COUNT(E8:E9)=2,IF(E8=0,"n.a.",E10/E8),"")</x:f>
      </x:c>
      <x:c r="F11" s="2"/>
      <x:c r="G11" s="2" t="str">
        <x:v>Negative difference = proposed cost is higher.</x:v>
      </x:c>
      <x:c r="H11" s="2"/>
    </x:row>
    <x:row r="12" ht="21" customHeight="1">
      <x:c r="B12" s="2" t="str">
        <x:v>Proposed installed CAPEX</x:v>
      </x:c>
      <x:c r="C12" s="2"/>
      <x:c r="D12" s="2"/>
      <x:c r="E12" s="12" t="str">
        <x:f>IF(ISNUMBER(C33),C33,"")</x:f>
      </x:c>
      <x:c r="F12" s="2"/>
      <x:c r="G12" s="2" t="str">
        <x:v>Zero current cost makes the percentage n.a.</x:v>
      </x:c>
      <x:c r="H12" s="2"/>
    </x:row>
    <x:row r="13" ht="21" customHeight="1">
      <x:c r="B13" s="2" t="str">
        <x:v>Comparison</x:v>
      </x:c>
      <x:c r="C13" s="2"/>
      <x:c r="D13" s="2"/>
      <x:c r="E13" s="14" t="str">
        <x:f>IF(ISNUMBER(E10),IF(E10&gt;0,"Proposed cost lower",IF(E10&lt;0,"Proposed cost higher","Equal cost")),"Awaiting cost data")</x:f>
        <x:v>Awaiting cost data</x:v>
      </x:c>
      <x:c r="F13" s="2"/>
      <x:c r="G13" s="2"/>
      <x:c r="H13" s="2"/>
    </x:row>
    <x:row r="14" ht="21" customHeight="1">
      <x:c r="B14" s="2" t="str">
        <x:v>Input status</x:v>
      </x:c>
      <x:c r="C14" s="2"/>
      <x:c r="D14" s="2"/>
      <x:c r="E14" s="14" t="str">
        <x:f>IF(COUNTA(C25:C32,C38:E46,C51:E59,C64:D66)=0,"Missing cost inputs",IF(OR(COUNT(C25:C32,C38:E46,C51:E59,C64:D66)&lt;&gt;COUNTA(C25:C32,C38:E46,C51:E59,C64:D66),COUNTIFS(C25:C32,"&lt;0")+COUNTIFS(C38:E46,"&lt;0")+COUNTIFS(C51:E59,"&lt;0")+COUNTIFS(C64:D66,"&lt;0")&gt;0),"Invalid cost input",IF(COUNT(C25:C32,C38:E46,C51:E59,C64:D66)&lt;68,"Missing cost inputs",IF(C18="","Missing VAT basis",IF(OR(C18="VAT inclusive",C18="VAT exclusive"),"Numeric inputs complete","Invalid VAT basis")))))</x:f>
        <x:v>Missing cost inputs</x:v>
      </x:c>
      <x:c r="F14" s="2"/>
      <x:c r="G14" s="2"/>
      <x:c r="H14" s="2"/>
    </x:row>
    <x:row r="15" ht="21" customHeight="1">
      <x:c r="B15" s="2"/>
      <x:c r="C15" s="2"/>
      <x:c r="D15" s="2"/>
      <x:c r="E15" s="2"/>
      <x:c r="F15" s="2"/>
      <x:c r="G15" s="2"/>
      <x:c r="H15" s="2"/>
    </x:row>
    <x:row r="16" ht="21" customHeight="1">
      <x:c r="B16" s="2" t="str">
        <x:v>Enter every cost in PHP. Enter 0 only when confirmed not applicable. Blank means unknown.</x:v>
      </x:c>
      <x:c r="C16" s="2"/>
      <x:c r="D16" s="2"/>
      <x:c r="E16" s="2"/>
      <x:c r="F16" s="2"/>
      <x:c r="G16" s="2"/>
      <x:c r="H16" s="2"/>
    </x:row>
    <x:row r="17" ht="21" customHeight="1">
      <x:c r="B17" s="2" t="str">
        <x:v>Blue text is editable. Black text is calculated. Estimates need a source and an explicit data basis.</x:v>
      </x:c>
      <x:c r="C17" s="2"/>
      <x:c r="D17" s="2"/>
      <x:c r="E17" s="2"/>
      <x:c r="F17" s="2"/>
      <x:c r="G17" s="2"/>
      <x:c r="H17" s="2"/>
    </x:row>
    <x:row r="18" ht="21" customHeight="1">
      <x:c r="B18" s="2" t="str">
        <x:v>VAT basis for all cost inputs</x:v>
      </x:c>
      <x:c r="C18" s="20"/>
      <x:c r="D18" s="2"/>
      <x:c r="E18" s="2"/>
      <x:c r="F18" s="2"/>
      <x:c r="G18" s="2" t="str">
        <x:v>Use one consistent VAT basis.</x:v>
      </x:c>
      <x:c r="H18" s="2"/>
    </x:row>
    <x:row r="19" ht="21" customHeight="1">
      <x:c r="B19" s="2" t="str">
        <x:v>Comparison period / start date</x:v>
      </x:c>
      <x:c r="C19" s="21"/>
      <x:c r="D19" s="21"/>
      <x:c r="E19" s="21"/>
      <x:c r="F19" s="2"/>
      <x:c r="G19" s="2" t="str">
        <x:v>Specify the periods before client submission.</x:v>
      </x:c>
      <x:c r="H19" s="2"/>
    </x:row>
    <x:row r="20" ht="21" customHeight="1">
      <x:c r="B20" s="2"/>
      <x:c r="C20" s="2"/>
      <x:c r="D20" s="2"/>
      <x:c r="E20" s="2"/>
      <x:c r="F20" s="2"/>
      <x:c r="G20" s="2"/>
      <x:c r="H20" s="2"/>
    </x:row>
    <x:row r="21" ht="21" customHeight="1">
      <x:c r="B21" s="5" t="str">
        <x:v>Sources: cite the document, quote number and date. Map each year to its source and actual, quote or estimate basis.</x:v>
      </x:c>
      <x:c r="C21" s="2"/>
      <x:c r="D21" s="2"/>
      <x:c r="E21" s="2"/>
      <x:c r="F21" s="2"/>
      <x:c r="G21" s="2"/>
      <x:c r="H21" s="2"/>
    </x:row>
    <x:row r="22" ht="21" customHeight="1">
      <x:c r="B22" s="5" t="str">
        <x:v>If periods use different bases, select Mixed (see source) and identify the basis for each period in the source field.</x:v>
      </x:c>
      <x:c r="C22" s="2"/>
      <x:c r="D22" s="2"/>
      <x:c r="E22" s="2"/>
      <x:c r="F22" s="2"/>
      <x:c r="G22" s="2"/>
      <x:c r="H22" s="2"/>
    </x:row>
    <x:row r="23" ht="24" customHeight="1">
      <x:c r="B23" s="23" t="str">
        <x:v>Proposed installed CAPEX</x:v>
      </x:c>
      <x:c r="C23" s="23"/>
      <x:c r="D23" s="23"/>
      <x:c r="E23" s="23"/>
      <x:c r="F23" s="23"/>
      <x:c r="G23" s="23"/>
      <x:c r="H23" s="23"/>
    </x:row>
    <x:row r="24" ht="25" customHeight="1">
      <x:c r="B24" s="26" t="str">
        <x:v>Cost item</x:v>
      </x:c>
      <x:c r="C24" s="26" t="str">
        <x:v>Amount (PHP)</x:v>
      </x:c>
      <x:c r="D24" s="26" t="str"/>
      <x:c r="E24" s="26" t="str"/>
      <x:c r="F24" s="2" t="str"/>
      <x:c r="G24" s="26" t="str">
        <x:v>Source or reference</x:v>
      </x:c>
      <x:c r="H24" s="26" t="str">
        <x:v>Data basis</x:v>
      </x:c>
    </x:row>
    <x:row r="25" ht="21" customHeight="1">
      <x:c r="B25" s="2" t="str">
        <x:v>Treatment equipment</x:v>
      </x:c>
      <x:c r="C25" s="28"/>
      <x:c r="D25" s="2"/>
      <x:c r="E25" s="2"/>
      <x:c r="F25" s="2"/>
      <x:c r="G25" s="21"/>
      <x:c r="H25" s="21"/>
    </x:row>
    <x:row r="26" ht="21" customHeight="1">
      <x:c r="B26" s="2" t="str">
        <x:v>Civil and structural works</x:v>
      </x:c>
      <x:c r="C26" s="28"/>
      <x:c r="D26" s="2"/>
      <x:c r="E26" s="2"/>
      <x:c r="F26" s="2"/>
      <x:c r="G26" s="21"/>
      <x:c r="H26" s="21"/>
    </x:row>
    <x:row r="27" ht="21" customHeight="1">
      <x:c r="B27" s="2" t="str">
        <x:v>Electrical and piping works</x:v>
      </x:c>
      <x:c r="C27" s="28"/>
      <x:c r="D27" s="2"/>
      <x:c r="E27" s="2"/>
      <x:c r="F27" s="2"/>
      <x:c r="G27" s="21"/>
      <x:c r="H27" s="21"/>
    </x:row>
    <x:row r="28" ht="21" customHeight="1">
      <x:c r="B28" s="2" t="str">
        <x:v>Engineering and design</x:v>
      </x:c>
      <x:c r="C28" s="28"/>
      <x:c r="D28" s="2"/>
      <x:c r="E28" s="2"/>
      <x:c r="F28" s="2"/>
      <x:c r="G28" s="21"/>
      <x:c r="H28" s="21"/>
    </x:row>
    <x:row r="29" ht="21" customHeight="1">
      <x:c r="B29" s="2" t="str">
        <x:v>Commissioning and initial testing</x:v>
      </x:c>
      <x:c r="C29" s="28"/>
      <x:c r="D29" s="2"/>
      <x:c r="E29" s="2"/>
      <x:c r="F29" s="2"/>
      <x:c r="G29" s="21"/>
      <x:c r="H29" s="21"/>
    </x:row>
    <x:row r="30" ht="21" customHeight="1">
      <x:c r="B30" s="2" t="str">
        <x:v>Approvals and other site works</x:v>
      </x:c>
      <x:c r="C30" s="28"/>
      <x:c r="D30" s="2"/>
      <x:c r="E30" s="2"/>
      <x:c r="F30" s="2"/>
      <x:c r="G30" s="21"/>
      <x:c r="H30" s="21"/>
    </x:row>
    <x:row r="31" ht="21" customHeight="1">
      <x:c r="B31" s="2" t="str">
        <x:v>Transport and mobilization</x:v>
      </x:c>
      <x:c r="C31" s="28"/>
      <x:c r="D31" s="2"/>
      <x:c r="E31" s="2"/>
      <x:c r="F31" s="2"/>
      <x:c r="G31" s="21"/>
      <x:c r="H31" s="21"/>
    </x:row>
    <x:row r="32" ht="21" customHeight="1">
      <x:c r="B32" s="2" t="str">
        <x:v>Other installed costs</x:v>
      </x:c>
      <x:c r="C32" s="28"/>
      <x:c r="D32" s="2"/>
      <x:c r="E32" s="2"/>
      <x:c r="F32" s="2"/>
      <x:c r="G32" s="21"/>
      <x:c r="H32" s="21"/>
    </x:row>
    <x:row r="33" ht="21" customHeight="1">
      <x:c r="B33" s="30" t="str">
        <x:v>Subtotal</x:v>
      </x:c>
      <x:c r="C33" s="31" t="str">
        <x:f>IF(AND(COUNT(C25:C32)=8,COUNTIFS(C25:C32,"&lt;0")=0),SUM(C25:C32),"")</x:f>
      </x:c>
      <x:c r="D33" s="31"/>
      <x:c r="E33" s="31"/>
      <x:c r="F33" s="2"/>
      <x:c r="G33" s="2" t="str">
        <x:v>Exclude costs already included in another quote line.</x:v>
      </x:c>
      <x:c r="H33" s="2"/>
    </x:row>
    <x:row r="34" ht="21" customHeight="1">
      <x:c r="B34" s="2"/>
      <x:c r="C34" s="2"/>
      <x:c r="D34" s="2"/>
      <x:c r="E34" s="2"/>
      <x:c r="F34" s="2"/>
      <x:c r="G34" s="2"/>
      <x:c r="H34" s="2"/>
    </x:row>
    <x:row r="35" ht="21" customHeight="1">
      <x:c r="B35" s="2"/>
      <x:c r="C35" s="2"/>
      <x:c r="D35" s="2"/>
      <x:c r="E35" s="2"/>
      <x:c r="F35" s="2"/>
      <x:c r="G35" s="2"/>
      <x:c r="H35" s="2"/>
    </x:row>
    <x:row r="36" ht="24" customHeight="1">
      <x:c r="B36" s="23" t="str">
        <x:v>Current setup: annual operating costs (PHP per year)</x:v>
      </x:c>
      <x:c r="C36" s="23"/>
      <x:c r="D36" s="23"/>
      <x:c r="E36" s="23"/>
      <x:c r="F36" s="23"/>
      <x:c r="G36" s="23"/>
      <x:c r="H36" s="23"/>
    </x:row>
    <x:row r="37" ht="25" customHeight="1">
      <x:c r="B37" s="26" t="str">
        <x:v>Cost item</x:v>
      </x:c>
      <x:c r="C37" s="26" t="str">
        <x:v>Year 1</x:v>
      </x:c>
      <x:c r="D37" s="26" t="str">
        <x:v>Year 2</x:v>
      </x:c>
      <x:c r="E37" s="26" t="str">
        <x:v>Year 3</x:v>
      </x:c>
      <x:c r="F37" s="2" t="str"/>
      <x:c r="G37" s="26" t="str">
        <x:v>Source or reference</x:v>
      </x:c>
      <x:c r="H37" s="26" t="str">
        <x:v>Data basis</x:v>
      </x:c>
    </x:row>
    <x:row r="38" ht="21" customHeight="1">
      <x:c r="B38" s="2" t="str">
        <x:v>Liquid wastewater hauling</x:v>
      </x:c>
      <x:c r="C38" s="28"/>
      <x:c r="D38" s="28"/>
      <x:c r="E38" s="28"/>
      <x:c r="F38" s="2"/>
      <x:c r="G38" s="21"/>
      <x:c r="H38" s="21"/>
    </x:row>
    <x:row r="39" ht="21" customHeight="1">
      <x:c r="B39" s="2" t="str">
        <x:v>Sludge and screenings disposal</x:v>
      </x:c>
      <x:c r="C39" s="28"/>
      <x:c r="D39" s="28"/>
      <x:c r="E39" s="28"/>
      <x:c r="F39" s="2"/>
      <x:c r="G39" s="21"/>
      <x:c r="H39" s="21"/>
    </x:row>
    <x:row r="40" ht="21" customHeight="1">
      <x:c r="B40" s="2" t="str">
        <x:v>Sewer / wastewater service fees</x:v>
      </x:c>
      <x:c r="C40" s="28"/>
      <x:c r="D40" s="28"/>
      <x:c r="E40" s="28"/>
      <x:c r="F40" s="2"/>
      <x:c r="G40" s="21"/>
      <x:c r="H40" s="21"/>
    </x:row>
    <x:row r="41" ht="21" customHeight="1">
      <x:c r="B41" s="2" t="str">
        <x:v>Power</x:v>
      </x:c>
      <x:c r="C41" s="28"/>
      <x:c r="D41" s="28"/>
      <x:c r="E41" s="28"/>
      <x:c r="F41" s="2"/>
      <x:c r="G41" s="21"/>
      <x:c r="H41" s="21"/>
    </x:row>
    <x:row r="42" ht="21" customHeight="1">
      <x:c r="B42" s="2" t="str">
        <x:v>Labor or operator</x:v>
      </x:c>
      <x:c r="C42" s="28"/>
      <x:c r="D42" s="28"/>
      <x:c r="E42" s="28"/>
      <x:c r="F42" s="2"/>
      <x:c r="G42" s="21"/>
      <x:c r="H42" s="21"/>
    </x:row>
    <x:row r="43" ht="21" customHeight="1">
      <x:c r="B43" s="2" t="str">
        <x:v>Maintenance and service</x:v>
      </x:c>
      <x:c r="C43" s="28"/>
      <x:c r="D43" s="28"/>
      <x:c r="E43" s="28"/>
      <x:c r="F43" s="2"/>
      <x:c r="G43" s="21"/>
      <x:c r="H43" s="21"/>
    </x:row>
    <x:row r="44" ht="21" customHeight="1">
      <x:c r="B44" s="2" t="str">
        <x:v>Consumables</x:v>
      </x:c>
      <x:c r="C44" s="28"/>
      <x:c r="D44" s="28"/>
      <x:c r="E44" s="28"/>
      <x:c r="F44" s="2"/>
      <x:c r="G44" s="21"/>
      <x:c r="H44" s="21"/>
    </x:row>
    <x:row r="45" ht="21" customHeight="1">
      <x:c r="B45" s="2" t="str">
        <x:v>Laboratory testing</x:v>
      </x:c>
      <x:c r="C45" s="28"/>
      <x:c r="D45" s="28"/>
      <x:c r="E45" s="28"/>
      <x:c r="F45" s="2"/>
      <x:c r="G45" s="21"/>
      <x:c r="H45" s="21"/>
    </x:row>
    <x:row r="46" ht="21" customHeight="1">
      <x:c r="B46" s="2" t="str">
        <x:v>Other ongoing costs</x:v>
      </x:c>
      <x:c r="C46" s="28"/>
      <x:c r="D46" s="28"/>
      <x:c r="E46" s="28"/>
      <x:c r="F46" s="2"/>
      <x:c r="G46" s="21"/>
      <x:c r="H46" s="21"/>
    </x:row>
    <x:row r="47" ht="21" customHeight="1">
      <x:c r="B47" s="30" t="str">
        <x:v>Subtotal</x:v>
      </x:c>
      <x:c r="C47" s="31" t="str">
        <x:f>IF(AND(COUNT(C38:C46)=9,COUNTIFS(C38:C46,"&lt;0")=0),SUM(C38:C46),"")</x:f>
      </x:c>
      <x:c r="D47" s="31" t="str">
        <x:f>IF(AND(COUNT(D38:D46)=9,COUNTIFS(D38:D46,"&lt;0")=0),SUM(D38:D46),"")</x:f>
      </x:c>
      <x:c r="E47" s="31" t="str">
        <x:f>IF(AND(COUNT(E38:E46)=9,COUNTIFS(E38:E46,"&lt;0")=0),SUM(E38:E46),"")</x:f>
      </x:c>
      <x:c r="F47" s="2"/>
      <x:c r="G47" s="2" t="str">
        <x:v>Use recent bills to support the current setup.</x:v>
      </x:c>
      <x:c r="H47" s="2"/>
    </x:row>
    <x:row r="48" ht="21" customHeight="1">
      <x:c r="B48" s="2"/>
      <x:c r="C48" s="2"/>
      <x:c r="D48" s="2"/>
      <x:c r="E48" s="2"/>
      <x:c r="F48" s="2"/>
      <x:c r="G48" s="2"/>
      <x:c r="H48" s="2"/>
    </x:row>
    <x:row r="49" ht="24" customHeight="1">
      <x:c r="B49" s="23" t="str">
        <x:v>Proposed setup: annual operating costs (PHP per year)</x:v>
      </x:c>
      <x:c r="C49" s="23"/>
      <x:c r="D49" s="23"/>
      <x:c r="E49" s="23"/>
      <x:c r="F49" s="23"/>
      <x:c r="G49" s="23"/>
      <x:c r="H49" s="23"/>
    </x:row>
    <x:row r="50" ht="25" customHeight="1">
      <x:c r="B50" s="26" t="str">
        <x:v>Cost item</x:v>
      </x:c>
      <x:c r="C50" s="26" t="str">
        <x:v>Year 1</x:v>
      </x:c>
      <x:c r="D50" s="26" t="str">
        <x:v>Year 2</x:v>
      </x:c>
      <x:c r="E50" s="26" t="str">
        <x:v>Year 3</x:v>
      </x:c>
      <x:c r="F50" s="2" t="str"/>
      <x:c r="G50" s="26" t="str">
        <x:v>Source or reference</x:v>
      </x:c>
      <x:c r="H50" s="26" t="str">
        <x:v>Data basis</x:v>
      </x:c>
    </x:row>
    <x:row r="51" ht="21" customHeight="1">
      <x:c r="B51" s="2" t="str">
        <x:v>Liquid wastewater hauling</x:v>
      </x:c>
      <x:c r="C51" s="28"/>
      <x:c r="D51" s="28"/>
      <x:c r="E51" s="28"/>
      <x:c r="F51" s="2"/>
      <x:c r="G51" s="21"/>
      <x:c r="H51" s="21"/>
    </x:row>
    <x:row r="52" ht="21" customHeight="1">
      <x:c r="B52" s="2" t="str">
        <x:v>Sludge and screenings disposal</x:v>
      </x:c>
      <x:c r="C52" s="28"/>
      <x:c r="D52" s="28"/>
      <x:c r="E52" s="28"/>
      <x:c r="F52" s="2"/>
      <x:c r="G52" s="21"/>
      <x:c r="H52" s="21"/>
    </x:row>
    <x:row r="53" ht="21" customHeight="1">
      <x:c r="B53" s="2" t="str">
        <x:v>Sewer / wastewater service fees</x:v>
      </x:c>
      <x:c r="C53" s="28"/>
      <x:c r="D53" s="28"/>
      <x:c r="E53" s="28"/>
      <x:c r="F53" s="2"/>
      <x:c r="G53" s="21"/>
      <x:c r="H53" s="21"/>
    </x:row>
    <x:row r="54" ht="21" customHeight="1">
      <x:c r="B54" s="2" t="str">
        <x:v>Power</x:v>
      </x:c>
      <x:c r="C54" s="28"/>
      <x:c r="D54" s="28"/>
      <x:c r="E54" s="28"/>
      <x:c r="F54" s="2"/>
      <x:c r="G54" s="21"/>
      <x:c r="H54" s="21"/>
    </x:row>
    <x:row r="55" ht="21" customHeight="1">
      <x:c r="B55" s="2" t="str">
        <x:v>Labor or operator</x:v>
      </x:c>
      <x:c r="C55" s="28"/>
      <x:c r="D55" s="28"/>
      <x:c r="E55" s="28"/>
      <x:c r="F55" s="2"/>
      <x:c r="G55" s="21"/>
      <x:c r="H55" s="21"/>
    </x:row>
    <x:row r="56" ht="21" customHeight="1">
      <x:c r="B56" s="2" t="str">
        <x:v>Maintenance and service</x:v>
      </x:c>
      <x:c r="C56" s="28"/>
      <x:c r="D56" s="28"/>
      <x:c r="E56" s="28"/>
      <x:c r="F56" s="2"/>
      <x:c r="G56" s="21"/>
      <x:c r="H56" s="21"/>
    </x:row>
    <x:row r="57" ht="21" customHeight="1">
      <x:c r="B57" s="2" t="str">
        <x:v>Consumables</x:v>
      </x:c>
      <x:c r="C57" s="28"/>
      <x:c r="D57" s="28"/>
      <x:c r="E57" s="28"/>
      <x:c r="F57" s="2"/>
      <x:c r="G57" s="21"/>
      <x:c r="H57" s="21"/>
    </x:row>
    <x:row r="58" ht="21" customHeight="1">
      <x:c r="B58" s="2" t="str">
        <x:v>Laboratory testing</x:v>
      </x:c>
      <x:c r="C58" s="28"/>
      <x:c r="D58" s="28"/>
      <x:c r="E58" s="28"/>
      <x:c r="F58" s="2"/>
      <x:c r="G58" s="21"/>
      <x:c r="H58" s="21"/>
    </x:row>
    <x:row r="59" ht="21" customHeight="1">
      <x:c r="B59" s="2" t="str">
        <x:v>Other ongoing costs</x:v>
      </x:c>
      <x:c r="C59" s="28"/>
      <x:c r="D59" s="28"/>
      <x:c r="E59" s="28"/>
      <x:c r="F59" s="2"/>
      <x:c r="G59" s="21"/>
      <x:c r="H59" s="21"/>
    </x:row>
    <x:row r="60" ht="21" customHeight="1">
      <x:c r="B60" s="30" t="str">
        <x:v>Subtotal</x:v>
      </x:c>
      <x:c r="C60" s="31" t="str">
        <x:f>IF(AND(COUNT(C51:C59)=9,COUNTIFS(C51:C59,"&lt;0")=0),SUM(C51:C59),"")</x:f>
      </x:c>
      <x:c r="D60" s="31" t="str">
        <x:f>IF(AND(COUNT(D51:D59)=9,COUNTIFS(D51:D59,"&lt;0")=0),SUM(D51:D59),"")</x:f>
      </x:c>
      <x:c r="E60" s="31" t="str">
        <x:f>IF(AND(COUNT(E51:E59)=9,COUNTIFS(E51:E59,"&lt;0")=0),SUM(E51:E59),"")</x:f>
      </x:c>
      <x:c r="F60" s="2"/>
      <x:c r="G60" s="2" t="str">
        <x:v>STP installation does not establish exemption from fees.</x:v>
      </x:c>
      <x:c r="H60" s="2"/>
    </x:row>
    <x:row r="61" ht="21" customHeight="1">
      <x:c r="B61" s="2"/>
      <x:c r="C61" s="2"/>
      <x:c r="D61" s="2"/>
      <x:c r="E61" s="2"/>
      <x:c r="F61" s="2"/>
      <x:c r="G61" s="2"/>
      <x:c r="H61" s="2"/>
    </x:row>
    <x:row r="62" ht="24" customHeight="1">
      <x:c r="B62" s="23" t="str">
        <x:v>Additional nonannual costs over the whole three-year period (PHP)</x:v>
      </x:c>
      <x:c r="C62" s="23"/>
      <x:c r="D62" s="23"/>
      <x:c r="E62" s="23"/>
      <x:c r="F62" s="23"/>
      <x:c r="G62" s="23"/>
      <x:c r="H62" s="23"/>
    </x:row>
    <x:row r="63" ht="25" customHeight="1">
      <x:c r="B63" s="26" t="str">
        <x:v>Cost item</x:v>
      </x:c>
      <x:c r="C63" s="26" t="str">
        <x:v>Current</x:v>
      </x:c>
      <x:c r="D63" s="26" t="str">
        <x:v>Proposed</x:v>
      </x:c>
      <x:c r="E63" s="26" t="str"/>
      <x:c r="F63" s="2" t="str"/>
      <x:c r="G63" s="26" t="str">
        <x:v>Source or reference</x:v>
      </x:c>
      <x:c r="H63" s="26" t="str">
        <x:v>Data basis</x:v>
      </x:c>
    </x:row>
    <x:row r="64" ht="21" customHeight="1">
      <x:c r="B64" s="2" t="str">
        <x:v>Major equipment replacements</x:v>
      </x:c>
      <x:c r="C64" s="28"/>
      <x:c r="D64" s="28"/>
      <x:c r="E64" s="2"/>
      <x:c r="F64" s="2"/>
      <x:c r="G64" s="21"/>
      <x:c r="H64" s="21"/>
    </x:row>
    <x:row r="65" ht="21" customHeight="1">
      <x:c r="B65" s="2" t="str">
        <x:v>Overhaul</x:v>
      </x:c>
      <x:c r="C65" s="28"/>
      <x:c r="D65" s="28"/>
      <x:c r="E65" s="2"/>
      <x:c r="F65" s="2"/>
      <x:c r="G65" s="21"/>
      <x:c r="H65" s="21"/>
    </x:row>
    <x:row r="66" ht="21" customHeight="1">
      <x:c r="B66" s="2" t="str">
        <x:v>Other nonannual costs</x:v>
      </x:c>
      <x:c r="C66" s="28"/>
      <x:c r="D66" s="28"/>
      <x:c r="E66" s="2"/>
      <x:c r="F66" s="2"/>
      <x:c r="G66" s="21"/>
      <x:c r="H66" s="21"/>
    </x:row>
    <x:row r="67" ht="21" customHeight="1">
      <x:c r="B67" s="30" t="str">
        <x:v>Subtotal</x:v>
      </x:c>
      <x:c r="C67" s="31" t="str">
        <x:f>IF(AND(COUNT(C64:C66)=3,COUNTIFS(C64:C66,"&lt;0")=0),SUM(C64:C66),"")</x:f>
      </x:c>
      <x:c r="D67" s="31" t="str">
        <x:f>IF(AND(COUNT(D64:D66)=3,COUNTIFS(D64:D66,"&lt;0")=0),SUM(D64:D66),"")</x:f>
      </x:c>
      <x:c r="E67" s="31"/>
      <x:c r="F67" s="2"/>
      <x:c r="G67" s="2" t="str">
        <x:v>Do not repeat annual costs or installed CAPEX.</x:v>
      </x:c>
      <x:c r="H67" s="2"/>
    </x:row>
    <x:row r="68" ht="21" customHeight="1">
      <x:c r="B68" s="2"/>
      <x:c r="C68" s="2"/>
      <x:c r="D68" s="2"/>
      <x:c r="E68" s="2"/>
      <x:c r="F68" s="2"/>
      <x:c r="G68" s="2"/>
      <x:c r="H68" s="2"/>
    </x:row>
    <x:row r="69" ht="21" customHeight="1">
      <x:c r="B69" s="2"/>
      <x:c r="C69" s="2"/>
      <x:c r="D69" s="2"/>
      <x:c r="E69" s="2"/>
      <x:c r="F69" s="2"/>
      <x:c r="G69" s="2"/>
      <x:c r="H69" s="2"/>
    </x:row>
    <x:row r="70" ht="21" customHeight="1">
      <x:c r="B70" s="7" t="str">
        <x:v>Model limits</x:v>
      </x:c>
      <x:c r="C70" s="2"/>
      <x:c r="D70" s="2"/>
      <x:c r="E70" s="2"/>
      <x:c r="F70" s="2"/>
      <x:c r="G70" s="2"/>
      <x:c r="H70" s="2"/>
    </x:row>
    <x:row r="71" ht="21" customHeight="1">
      <x:c r="B71" s="6" t="str">
        <x:v>Simple undiscounted cost comparison. This is not a final quotation or a treatment-performance guarantee.</x:v>
      </x:c>
      <x:c r="C71" s="2"/>
      <x:c r="D71" s="2"/>
      <x:c r="E71" s="2"/>
      <x:c r="F71" s="2"/>
      <x:c r="G71" s="2"/>
      <x:c r="H71" s="2"/>
    </x:row>
    <x:row r="72" ht="21" customHeight="1">
      <x:c r="B72" s="6" t="str">
        <x:v>Year 1, Year 2 and Year 3 are consecutive 12-month periods. Enter annual totals, not quarterly or monthly bills.</x:v>
      </x:c>
      <x:c r="C72" s="2"/>
      <x:c r="D72" s="2"/>
      <x:c r="E72" s="2"/>
      <x:c r="F72" s="2"/>
      <x:c r="G72" s="2"/>
      <x:c r="H72" s="2"/>
    </x:row>
    <x:row r="73" ht="21" customHeight="1">
      <x:c r="B73" s="6" t="str">
        <x:v>Enter quoted or evidenced increases directly in the later-year columns. No inflation or finance rate is assumed.</x:v>
      </x:c>
      <x:c r="C73" s="2"/>
      <x:c r="D73" s="2"/>
      <x:c r="E73" s="2"/>
      <x:c r="F73" s="2"/>
      <x:c r="G73" s="2"/>
      <x:c r="H73" s="2"/>
    </x:row>
    <x:row r="74" ht="21" customHeight="1">
      <x:c r="B74" s="6" t="str">
        <x:v>Financing, taxes beyond the selected VAT basis and discounting require a separate agreed cash-flow analysis.</x:v>
      </x:c>
      <x:c r="C74" s="2"/>
      <x:c r="D74" s="2"/>
      <x:c r="E74" s="2"/>
      <x:c r="F74" s="2"/>
      <x:c r="G74" s="2"/>
      <x:c r="H74" s="2"/>
    </x:row>
    <x:row r="75" ht="21" customHeight="1">
      <x:c r="B75" s="6" t="str">
        <x:v>No payback period is calculated. Savings and payback need confirmed scope, cash-flow timing and operating data.</x:v>
      </x:c>
      <x:c r="C75" s="2"/>
      <x:c r="D75" s="2"/>
      <x:c r="E75" s="2"/>
      <x:c r="F75" s="2"/>
      <x:c r="G75" s="2"/>
      <x:c r="H75" s="2"/>
    </x:row>
    <x:row r="76" ht="21" customHeight="1">
      <x:c r="B76" s="6" t="str">
        <x:v>Keep actual bills, supplier quotes and estimates distinct. An estimate is not proof of savings.</x:v>
      </x:c>
      <x:c r="C76" s="2"/>
      <x:c r="D76" s="2"/>
      <x:c r="E76" s="2"/>
      <x:c r="F76" s="2"/>
      <x:c r="G76" s="2"/>
      <x:c r="H76" s="2"/>
    </x:row>
    <x:row r="77" ht="21" customHeight="1">
      <x:c r="B77" s="6" t="str">
        <x:v>Check power, staffing, maintenance, testing and waste-removal assumptions with the proposed technical partner.</x:v>
      </x:c>
      <x:c r="C77" s="2"/>
      <x:c r="D77" s="2"/>
      <x:c r="E77" s="2"/>
      <x:c r="F77" s="2"/>
      <x:c r="G77" s="2"/>
      <x:c r="H77" s="2"/>
    </x:row>
    <x:row r="78" ht="21" customHeight="1">
      <x:c r="B78" s="6" t="str">
        <x:v>Numeric input status does not verify engineering suitability, price accuracy, source completeness or compliance.</x:v>
      </x:c>
      <x:c r="C78" s="2"/>
      <x:c r="D78" s="2"/>
      <x:c r="E78" s="2"/>
      <x:c r="F78" s="2"/>
      <x:c r="G78" s="2"/>
      <x:c r="H78" s="2"/>
    </x:row>
    <x:row r="79" ht="21" customHeight="1">
      <x:c r="B79" s="2"/>
      <x:c r="C79" s="2"/>
      <x:c r="D79" s="2"/>
      <x:c r="E79" s="2"/>
      <x:c r="F79" s="2"/>
      <x:c r="G79" s="2"/>
      <x:c r="H79" s="2"/>
    </x:row>
  </x:sheetData>
  <x:conditionalFormatting sqref="E14:E14">
    <x:cfRule type="containsText" dxfId="12" priority="1" operator="containsText" text="Invalid"/>
    <x:cfRule type="containsText" dxfId="13" priority="2" operator="containsText" text="Missing"/>
  </x:conditionalFormatting>
  <x:conditionalFormatting sqref="C25:C32">
    <x:cfRule type="expression" dxfId="14" priority="3">
      <x:formula>AND(C25&lt;&gt;"",OR(NOT(ISNUMBER(C25)),C25&lt;0))</x:formula>
    </x:cfRule>
  </x:conditionalFormatting>
  <x:conditionalFormatting sqref="C38:E46">
    <x:cfRule type="expression" dxfId="15" priority="4">
      <x:formula>AND(C38&lt;&gt;"",OR(NOT(ISNUMBER(C38)),C38&lt;0))</x:formula>
    </x:cfRule>
  </x:conditionalFormatting>
  <x:conditionalFormatting sqref="C51:E59">
    <x:cfRule type="expression" dxfId="16" priority="5">
      <x:formula>AND(C51&lt;&gt;"",OR(NOT(ISNUMBER(C51)),C51&lt;0))</x:formula>
    </x:cfRule>
  </x:conditionalFormatting>
  <x:conditionalFormatting sqref="C64:D66">
    <x:cfRule type="expression" dxfId="17" priority="6">
      <x:formula>AND(C64&lt;&gt;"",OR(NOT(ISNUMBER(C64)),C64&lt;0))</x:formula>
    </x:cfRule>
  </x:conditionalFormatting>
  <x:dataValidations count="5">
    <x:dataValidation type="list" errorStyle="stop" showErrorMessage="1" errorTitle="Choose one VAT basis" error="Use VAT inclusive or VAT exclusive consistently across all costs." sqref="C18">
      <x:formula1>"VAT inclusive,VAT exclusive"</x:formula1>
    </x:dataValidation>
    <x:dataValidation type="list" errorStyle="stop" showErrorMessage="1" errorTitle="Select a data basis" error="Select the actual, quoted, estimated, confirmed N/A or mixed basis. Map mixed periods in the source field." sqref="H25:H32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38:H46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51:H59">
      <x:formula1>"Actual,Quote,Estimate,N/A confirmed,Mixed (see source)"</x:formula1>
    </x:dataValidation>
    <x:dataValidation type="list" errorStyle="stop" showErrorMessage="1" errorTitle="Select a data basis" error="Select the actual, quoted, estimated, confirmed N/A or mixed basis. Map mixed periods in the source field." sqref="H64:H66">
      <x:formula1>"Actual,Quote,Estimate,N/A confirmed,Mixed (see source)"</x:formula1>
    </x:dataValidation>
  </x:dataValidations>
  <x:pageMargins left="0.7" right="0.7" top="0.75" bottom="0.75" header="0.3" footer="0.3"/>
</x:worksheet>
</file>