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slip" state="visible" r:id="rId4"/>
    <sheet sheetId="2" name="DailyLog" state="visible" r:id="rId5"/>
    <sheet sheetId="3" name="Earnings" state="visible" r:id="rId6"/>
  </sheets>
  <calcPr calcId="171027"/>
</workbook>
</file>

<file path=xl/sharedStrings.xml><?xml version="1.0" encoding="utf-8"?>
<sst xmlns="http://schemas.openxmlformats.org/spreadsheetml/2006/main" count="49" uniqueCount="48">
  <si>
    <t>KUYA MARVIN NG OCEANIDES</t>
  </si>
  <si>
    <t>WEEKLY PAYSLIP — Attendance &amp; Earnings Tracker</t>
  </si>
  <si>
    <t>Week start (Lunes) — si Neil ang nagpapalit kada Lunes</t>
  </si>
  <si>
    <t>Days worked</t>
  </si>
  <si>
    <t>Day pay  (P500 / working day)</t>
  </si>
  <si>
    <t>Transport reimbursement</t>
  </si>
  <si>
    <t>Confirmed commissions  (Bayad na = OO)</t>
  </si>
  <si>
    <t>TOTAL PAYOUT (kada Sabado, GCash)</t>
  </si>
  <si>
    <t>PAANO GAMITIN — SINO ANG NAGSUSULAT:</t>
  </si>
  <si>
    <t>1.  Si MARVIN ang nagsusulat sa DailyLog (lahat ng columns) at sa Earnings columns A hanggang D — araw-araw.</t>
  </si>
  <si>
    <t>2.  Si NEIL LANG ang nagsusulat sa "Bayad na?" (Earnings column F): OO kapag nakolekta na ang bayad ng client. Si Neil din ang nagpapalit ng Week start sa taas kada Lunes.</t>
  </si>
  <si>
    <t>3.  DailyLog: ISANG row kada working day. Pagsamahin sa Notes kung maraming ginawa sa isang araw.</t>
  </si>
  <si>
    <t>4.  Ang commission ay pumapasok sa payslip kapag OO na ang "Bayad na?" — hindi sa booking pa lang.</t>
  </si>
  <si>
    <t>5.  Commission: Certified = P250  |  Lusong = 5% ng deal  |  Maintenance = P500. Auto-compute na ito sa Earnings — piliin lang ang Uri at ilagay ang halaga ng deal.</t>
  </si>
  <si>
    <t>6.  May HALIMBAWA rows (dilaw na background) sa DailyLog at Earnings — tingnan para makita ang tamang pag-fill, tapos BURAHIN kapag magsisimula na ang totoong logging.</t>
  </si>
  <si>
    <t>Petsa</t>
  </si>
  <si>
    <t>Uri ng araw</t>
  </si>
  <si>
    <t>Site o Client</t>
  </si>
  <si>
    <t>Time In</t>
  </si>
  <si>
    <t>Time Out</t>
  </si>
  <si>
    <t>Transport (P)</t>
  </si>
  <si>
    <t>Notes  (si Marvin ang nagsusulat sa tab na ito)</t>
  </si>
  <si>
    <t>Inspection</t>
  </si>
  <si>
    <t>Aling Rosa — Project 8, QC</t>
  </si>
  <si>
    <t>8:30 AM</t>
  </si>
  <si>
    <t>10:00 AM</t>
  </si>
  <si>
    <t>HALIMBAWA: septic check, kuha photos, report sa group chat</t>
  </si>
  <si>
    <t>Canvass</t>
  </si>
  <si>
    <t>5 restaurants sa Maginhawa</t>
  </si>
  <si>
    <t>1:00 PM</t>
  </si>
  <si>
    <t>4:30 PM</t>
  </si>
  <si>
    <t>HALIMBAWA: nag-iwan ng contact, 2 ang interesado sa Health Check</t>
  </si>
  <si>
    <t>Content</t>
  </si>
  <si>
    <t>Shoot — reference photos</t>
  </si>
  <si>
    <t>9:00 AM</t>
  </si>
  <si>
    <t>12:00 PM</t>
  </si>
  <si>
    <t>HALIMBAWA: burahin ang mga dilaw na row kapag magsisimula na</t>
  </si>
  <si>
    <t>Client  (si Marvin: A–D)</t>
  </si>
  <si>
    <t>Uri</t>
  </si>
  <si>
    <t>Halaga ng deal (P)</t>
  </si>
  <si>
    <t>Commission (P) — AUTO</t>
  </si>
  <si>
    <t>Bayad na? (si NEIL lang)</t>
  </si>
  <si>
    <t>ABC Restaurant Corp. (5 loads, may DENR cert)</t>
  </si>
  <si>
    <t>Certified</t>
  </si>
  <si>
    <t>OO</t>
  </si>
  <si>
    <t>Aling Rosa — lusong mula sa Health Check</t>
  </si>
  <si>
    <t>Lusong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</si>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</sst>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₱&quot;#,##0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5B301"/>
      <sz val="11"/>
    </font>
    <font>
      <b/>
      <color rgb="FF13293D"/>
      <sz val="11"/>
    </font>
    <font>
      <b/>
      <color rgb="FF13293D"/>
      <sz val="12"/>
    </font>
    <font>
      <color rgb="FF13293D"/>
      <sz val="11"/>
    </font>
    <font>
      <b/>
      <color rgb="FFFFFFFF"/>
      <sz val="12"/>
    </font>
    <font>
      <b/>
      <color rgb="FF0B1F33"/>
      <sz val="16"/>
    </font>
    <font>
      <b/>
      <color rgb="FF6B8299"/>
      <sz val="9.5"/>
    </font>
    <font>
      <i/>
      <color rgb="FF6B8299"/>
      <sz val="9.5"/>
    </font>
    <font>
      <b/>
      <color rgb="FFFFFFFF"/>
      <sz val="11"/>
    </font>
    <font>
      <i/>
      <color rgb="FF13293D"/>
      <sz val="10.5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3D1"/>
      </patternFill>
    </fill>
    <fill>
      <patternFill patternType="solid">
        <fgColor rgb="FFEAF4FC"/>
      </patternFill>
    </fill>
    <fill>
      <patternFill patternType="solid">
        <fgColor rgb="FFF6FAFE"/>
      </patternFill>
    </fill>
    <fill>
      <patternFill patternType="solid">
        <fgColor rgb="FF123049"/>
      </patternFill>
    </fill>
    <fill>
      <patternFill patternType="solid">
        <fgColor rgb="FFF5B301"/>
      </patternFill>
    </fill>
    <fill>
      <patternFill patternType="solid">
        <fgColor rgb="FFFFF7DF"/>
      </patternFill>
    </fill>
  </fills>
  <borders count="4">
    <border>
      <left/>
      <right/>
      <top/>
      <bottom/>
      <diagonal/>
    </border>
    <border>
      <left style="thin">
        <color rgb="FFF5B301"/>
      </left>
      <right style="thin">
        <color rgb="FFF5B301"/>
      </right>
      <top style="thin">
        <color rgb="FFF5B301"/>
      </top>
      <bottom style="thin">
        <color rgb="FFF5B301"/>
      </bottom>
      <diagonal/>
    </border>
    <border>
      <left style="thin">
        <color rgb="FFD5E4F0"/>
      </left>
      <right style="thin">
        <color rgb="FFD5E4F0"/>
      </right>
      <top style="thin">
        <color rgb="FFD5E4F0"/>
      </top>
      <bottom style="thin">
        <color rgb="FFD5E4F0"/>
      </bottom>
      <diagonal/>
    </border>
    <border>
      <left/>
      <right/>
      <top/>
      <bottom style="medium">
        <color rgb="FFF5B3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vertical="center"/>
    </xf>
    <xf numFmtId="165" fontId="7" fillId="7" borderId="0" xfId="0" applyNumberFormat="1" applyFont="1" applyFill="1" applyAlignment="1">
      <alignment horizontal="right"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4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4" fontId="11" fillId="8" borderId="0" xfId="0" applyNumberFormat="1" applyFont="1" applyFill="1"/>
    <xf numFmtId="0" fontId="11" fillId="8" borderId="0" xfId="0" applyFont="1" applyFill="1"/>
    <xf numFmtId="165" fontId="11" fillId="8" borderId="0" xfId="0" applyNumberFormat="1" applyFont="1" applyFill="1"/>
  </cellXfs>
  <cellStyles count="1">
    <cellStyle name="Normal" xfId="0" builtinId="0"/>
  </cellStyles>
  <dxfs count="1">
    <dxf>
      <fill>
        <patternFill patternType="solid">
          <bgColor rgb="FFD9F2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44" customWidth="1"/>
    <col min="3" max="3" width="22" customWidth="1"/>
    <col min="4" max="4" width="3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6" customHeight="1" spans="2:3" x14ac:dyDescent="0.25">
      <c r="B4" s="3" t="s">
        <v>2</v>
      </c>
      <c r="C4" s="4">
        <v>46223.66666666667</v>
      </c>
    </row>
    <row r="6" ht="24" customHeight="1" spans="2:3" x14ac:dyDescent="0.25">
      <c r="B6" s="5" t="s">
        <v>3</v>
      </c>
      <c r="C6" s="6">
        <f>COUNTIFS(DailyLog!$A$2:$A$500,"&gt;="&amp;$C$4,DailyLog!$A$2:$A$500,"&lt;"&amp;$C$4+7)</f>
      </c>
    </row>
    <row r="7" ht="24" customHeight="1" spans="2:3" x14ac:dyDescent="0.25">
      <c r="B7" s="7" t="s">
        <v>4</v>
      </c>
      <c r="C7" s="8">
        <f>C6*500</f>
      </c>
    </row>
    <row r="8" ht="24" customHeight="1" spans="2:3" x14ac:dyDescent="0.25">
      <c r="B8" s="5" t="s">
        <v>5</v>
      </c>
      <c r="C8" s="9">
        <f>SUMIFS(DailyLog!$F$2:$F$500,DailyLog!$A$2:$A$500,"&gt;="&amp;$C$4,DailyLog!$A$2:$A$500,"&lt;"&amp;$C$4+7)</f>
      </c>
    </row>
    <row r="9" ht="24" customHeight="1" spans="2:3" x14ac:dyDescent="0.25">
      <c r="B9" s="7" t="s">
        <v>6</v>
      </c>
      <c r="C9" s="8">
        <f>SUMIFS(Earnings!$E$2:$E$500,Earnings!$A$2:$A$500,"&gt;="&amp;$C$4,Earnings!$A$2:$A$500,"&lt;"&amp;$C$4+7,Earnings!$F$2:$F$500,"OO")</f>
      </c>
    </row>
    <row r="11" ht="34" customHeight="1" spans="2:3" x14ac:dyDescent="0.25">
      <c r="B11" s="10" t="s">
        <v>7</v>
      </c>
      <c r="C11" s="11">
        <f>C7+C8+C9</f>
      </c>
    </row>
    <row r="13" ht="18" customHeight="1" spans="2:3" x14ac:dyDescent="0.25">
      <c r="B13" s="12" t="s">
        <v>8</v>
      </c>
      <c r="C13" s="12"/>
    </row>
    <row r="14" ht="30" customHeight="1" spans="2:3" x14ac:dyDescent="0.25">
      <c r="B14" s="13" t="s">
        <v>9</v>
      </c>
      <c r="C14" s="13"/>
    </row>
    <row r="15" ht="42" customHeight="1" spans="2:3" x14ac:dyDescent="0.25">
      <c r="B15" s="13" t="s">
        <v>10</v>
      </c>
      <c r="C15" s="13"/>
    </row>
    <row r="16" ht="30" customHeight="1" spans="2:3" x14ac:dyDescent="0.25">
      <c r="B16" s="13" t="s">
        <v>11</v>
      </c>
      <c r="C16" s="13"/>
    </row>
    <row r="17" ht="30" customHeight="1" spans="2:3" x14ac:dyDescent="0.25">
      <c r="B17" s="13" t="s">
        <v>12</v>
      </c>
      <c r="C17" s="13"/>
    </row>
    <row r="18" ht="42" customHeight="1" spans="2:3" x14ac:dyDescent="0.25">
      <c r="B18" s="13" t="s">
        <v>13</v>
      </c>
      <c r="C18" s="13"/>
    </row>
    <row r="19" ht="42" customHeight="1" spans="2:3" x14ac:dyDescent="0.25">
      <c r="B19" s="13" t="s">
        <v>14</v>
      </c>
      <c r="C19" s="13"/>
    </row>
  </sheetData>
  <mergeCells count="9">
    <mergeCell ref="A1:D1"/>
    <mergeCell ref="A2:D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4" customWidth="1"/>
    <col min="2" max="2" width="18" customWidth="1"/>
    <col min="3" max="3" width="30" customWidth="1"/>
    <col min="4" max="5" width="10" customWidth="1"/>
    <col min="6" max="6" width="13" style="15" customWidth="1"/>
    <col min="7" max="7" width="52" customWidth="1"/>
  </cols>
  <sheetData>
    <row r="1" ht="26" customHeight="1" spans="1:7" x14ac:dyDescent="0.25">
      <c r="A1" s="16" t="s">
        <v>15</v>
      </c>
      <c r="B1" s="17" t="s">
        <v>16</v>
      </c>
      <c r="C1" s="17" t="s">
        <v>17</v>
      </c>
      <c r="D1" s="17" t="s">
        <v>18</v>
      </c>
      <c r="E1" s="17" t="s">
        <v>19</v>
      </c>
      <c r="F1" s="18" t="s">
        <v>20</v>
      </c>
      <c r="G1" s="17" t="s">
        <v>21</v>
      </c>
    </row>
    <row r="2" spans="1:7" x14ac:dyDescent="0.25">
      <c r="A2" s="19">
        <v>46223.66666666667</v>
      </c>
      <c r="B2" s="20" t="s">
        <v>22</v>
      </c>
      <c r="C2" s="20" t="s">
        <v>23</v>
      </c>
      <c r="D2" s="20" t="s">
        <v>24</v>
      </c>
      <c r="E2" s="20" t="s">
        <v>25</v>
      </c>
      <c r="F2" s="21">
        <v>250</v>
      </c>
      <c r="G2" s="20" t="s">
        <v>26</v>
      </c>
    </row>
    <row r="3" spans="1:7" x14ac:dyDescent="0.25">
      <c r="A3" s="19">
        <v>46224.66666666667</v>
      </c>
      <c r="B3" s="20" t="s">
        <v>27</v>
      </c>
      <c r="C3" s="20" t="s">
        <v>28</v>
      </c>
      <c r="D3" s="20" t="s">
        <v>29</v>
      </c>
      <c r="E3" s="20" t="s">
        <v>30</v>
      </c>
      <c r="F3" s="21">
        <v>200</v>
      </c>
      <c r="G3" s="20" t="s">
        <v>31</v>
      </c>
    </row>
    <row r="4" spans="1:7" x14ac:dyDescent="0.25">
      <c r="A4" s="19">
        <v>46225.66666666667</v>
      </c>
      <c r="B4" s="20" t="s">
        <v>32</v>
      </c>
      <c r="C4" s="20" t="s">
        <v>33</v>
      </c>
      <c r="D4" s="20" t="s">
        <v>34</v>
      </c>
      <c r="E4" s="20" t="s">
        <v>35</v>
      </c>
      <c r="F4" s="21"/>
      <c r="G4" s="20" t="s">
        <v>36</v>
      </c>
    </row>
  </sheetData>
  <dataValidations count="1">
    <dataValidation type="list" allowBlank="1" sqref="B2:B100">
      <formula1>"Inspection,Canvass,Content,Bantay-Serbisyo"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4" customWidth="1"/>
    <col min="2" max="2" width="30" customWidth="1"/>
    <col min="3" max="3" width="15" customWidth="1"/>
    <col min="4" max="4" width="17" style="15" customWidth="1"/>
    <col min="5" max="5" width="20" style="15" customWidth="1"/>
    <col min="6" max="6" width="22" customWidth="1"/>
  </cols>
  <sheetData>
    <row r="1" ht="26" customHeight="1" spans="1:6" x14ac:dyDescent="0.25">
      <c r="A1" s="16" t="s">
        <v>15</v>
      </c>
      <c r="B1" s="17" t="s">
        <v>37</v>
      </c>
      <c r="C1" s="17" t="s">
        <v>38</v>
      </c>
      <c r="D1" s="18" t="s">
        <v>39</v>
      </c>
      <c r="E1" s="18" t="s">
        <v>40</v>
      </c>
      <c r="F1" s="17" t="s">
        <v>41</v>
      </c>
    </row>
    <row r="2" spans="1:6" x14ac:dyDescent="0.25">
      <c r="A2" s="19">
        <v>46223.66666666667</v>
      </c>
      <c r="B2" s="20" t="s">
        <v>42</v>
      </c>
      <c r="C2" s="20" t="s">
        <v>43</v>
      </c>
      <c r="D2" s="21">
        <v>12000</v>
      </c>
      <c r="E2" s="15">
        <f>IF($C2="Certified",250,IF($C2="Lusong",$D2*0.05,IF($C2="Maintenance",500,"")))</f>
      </c>
      <c r="F2" s="20" t="s">
        <v>44</v>
      </c>
    </row>
    <row r="3" spans="1:6" x14ac:dyDescent="0.25">
      <c r="A3" s="19">
        <v>46225.66666666667</v>
      </c>
      <c r="B3" s="20" t="s">
        <v>45</v>
      </c>
      <c r="C3" s="20" t="s">
        <v>46</v>
      </c>
      <c r="D3" s="21">
        <v>20000</v>
      </c>
      <c r="E3" s="15">
        <f>IF($C3="Certified",250,IF($C3="Lusong",$D3*0.05,IF($C3="Maintenance",500,"")))</f>
      </c>
      <c r="F3" s="20" t="s">
        <v>47</v>
      </c>
    </row>
    <row r="4" spans="5:5" x14ac:dyDescent="0.25">
      <c r="E4" s="15">
        <f>IF($C4="Certified",250,IF($C4="Lusong",$D4*0.05,IF($C4="Maintenance",500,"")))</f>
      </c>
    </row>
    <row r="5" spans="5:5" x14ac:dyDescent="0.25">
      <c r="E5" s="15">
        <f>IF($C5="Certified",250,IF($C5="Lusong",$D5*0.05,IF($C5="Maintenance",500,"")))</f>
      </c>
    </row>
    <row r="6" spans="5:5" x14ac:dyDescent="0.25">
      <c r="E6" s="15">
        <f>IF($C6="Certified",250,IF($C6="Lusong",$D6*0.05,IF($C6="Maintenance",500,"")))</f>
      </c>
    </row>
    <row r="7" spans="5:5" x14ac:dyDescent="0.25">
      <c r="E7" s="15">
        <f>IF($C7="Certified",250,IF($C7="Lusong",$D7*0.05,IF($C7="Maintenance",500,"")))</f>
      </c>
    </row>
    <row r="8" spans="5:5" x14ac:dyDescent="0.25">
      <c r="E8" s="15">
        <f>IF($C8="Certified",250,IF($C8="Lusong",$D8*0.05,IF($C8="Maintenance",500,"")))</f>
      </c>
    </row>
    <row r="9" spans="5:5" x14ac:dyDescent="0.25">
      <c r="E9" s="15">
        <f>IF($C9="Certified",250,IF($C9="Lusong",$D9*0.05,IF($C9="Maintenance",500,"")))</f>
      </c>
    </row>
    <row r="10" spans="5:5" x14ac:dyDescent="0.25">
      <c r="E10" s="15">
        <f>IF($C10="Certified",250,IF($C10="Lusong",$D10*0.05,IF($C10="Maintenance",500,"")))</f>
      </c>
    </row>
    <row r="11" spans="5:5" x14ac:dyDescent="0.25">
      <c r="E11" s="15">
        <f>IF($C11="Certified",250,IF($C11="Lusong",$D11*0.05,IF($C11="Maintenance",500,"")))</f>
      </c>
    </row>
    <row r="12" spans="5:5" x14ac:dyDescent="0.25">
      <c r="E12" s="15">
        <f>IF($C12="Certified",250,IF($C12="Lusong",$D12*0.05,IF($C12="Maintenance",500,"")))</f>
      </c>
    </row>
    <row r="13" spans="5:5" x14ac:dyDescent="0.25">
      <c r="E13" s="15">
        <f>IF($C13="Certified",250,IF($C13="Lusong",$D13*0.05,IF($C13="Maintenance",500,"")))</f>
      </c>
    </row>
    <row r="14" spans="5:5" x14ac:dyDescent="0.25">
      <c r="E14" s="15">
        <f>IF($C14="Certified",250,IF($C14="Lusong",$D14*0.05,IF($C14="Maintenance",500,"")))</f>
      </c>
    </row>
    <row r="15" spans="5:5" x14ac:dyDescent="0.25">
      <c r="E15" s="15">
        <f>IF($C15="Certified",250,IF($C15="Lusong",$D15*0.05,IF($C15="Maintenance",500,"")))</f>
      </c>
    </row>
    <row r="16" spans="5:5" x14ac:dyDescent="0.25">
      <c r="E16" s="15">
        <f>IF($C16="Certified",250,IF($C16="Lusong",$D16*0.05,IF($C16="Maintenance",500,"")))</f>
      </c>
    </row>
    <row r="17" spans="5:5" x14ac:dyDescent="0.25">
      <c r="E17" s="15">
        <f>IF($C17="Certified",250,IF($C17="Lusong",$D17*0.05,IF($C17="Maintenance",500,"")))</f>
      </c>
    </row>
    <row r="18" spans="5:5" x14ac:dyDescent="0.25">
      <c r="E18" s="15">
        <f>IF($C18="Certified",250,IF($C18="Lusong",$D18*0.05,IF($C18="Maintenance",500,"")))</f>
      </c>
    </row>
    <row r="19" spans="5:5" x14ac:dyDescent="0.25">
      <c r="E19" s="15">
        <f>IF($C19="Certified",250,IF($C19="Lusong",$D19*0.05,IF($C19="Maintenance",500,"")))</f>
      </c>
    </row>
    <row r="20" spans="5:5" x14ac:dyDescent="0.25">
      <c r="E20" s="15">
        <f>IF($C20="Certified",250,IF($C20="Lusong",$D20*0.05,IF($C20="Maintenance",500,"")))</f>
      </c>
    </row>
    <row r="21" spans="5:5" x14ac:dyDescent="0.25">
      <c r="E21" s="15">
        <f>IF($C21="Certified",250,IF($C21="Lusong",$D21*0.05,IF($C21="Maintenance",500,"")))</f>
      </c>
    </row>
    <row r="22" spans="5:5" x14ac:dyDescent="0.25">
      <c r="E22" s="15">
        <f>IF($C22="Certified",250,IF($C22="Lusong",$D22*0.05,IF($C22="Maintenance",500,"")))</f>
      </c>
    </row>
    <row r="23" spans="5:5" x14ac:dyDescent="0.25">
      <c r="E23" s="15">
        <f>IF($C23="Certified",250,IF($C23="Lusong",$D23*0.05,IF($C23="Maintenance",500,"")))</f>
      </c>
    </row>
    <row r="24" spans="5:5" x14ac:dyDescent="0.25">
      <c r="E24" s="15">
        <f>IF($C24="Certified",250,IF($C24="Lusong",$D24*0.05,IF($C24="Maintenance",500,"")))</f>
      </c>
    </row>
    <row r="25" spans="5:5" x14ac:dyDescent="0.25">
      <c r="E25" s="15">
        <f>IF($C25="Certified",250,IF($C25="Lusong",$D25*0.05,IF($C25="Maintenance",500,"")))</f>
      </c>
    </row>
    <row r="26" spans="5:5" x14ac:dyDescent="0.25">
      <c r="E26" s="15">
        <f>IF($C26="Certified",250,IF($C26="Lusong",$D26*0.05,IF($C26="Maintenance",500,"")))</f>
      </c>
    </row>
    <row r="27" spans="5:5" x14ac:dyDescent="0.25">
      <c r="E27" s="15">
        <f>IF($C27="Certified",250,IF($C27="Lusong",$D27*0.05,IF($C27="Maintenance",500,"")))</f>
      </c>
    </row>
    <row r="28" spans="5:5" x14ac:dyDescent="0.25">
      <c r="E28" s="15">
        <f>IF($C28="Certified",250,IF($C28="Lusong",$D28*0.05,IF($C28="Maintenance",500,"")))</f>
      </c>
    </row>
    <row r="29" spans="5:5" x14ac:dyDescent="0.25">
      <c r="E29" s="15">
        <f>IF($C29="Certified",250,IF($C29="Lusong",$D29*0.05,IF($C29="Maintenance",500,"")))</f>
      </c>
    </row>
    <row r="30" spans="5:5" x14ac:dyDescent="0.25">
      <c r="E30" s="15">
        <f>IF($C30="Certified",250,IF($C30="Lusong",$D30*0.05,IF($C30="Maintenance",500,"")))</f>
      </c>
    </row>
    <row r="31" spans="5:5" x14ac:dyDescent="0.25">
      <c r="E31" s="15">
        <f>IF($C31="Certified",250,IF($C31="Lusong",$D31*0.05,IF($C31="Maintenance",500,"")))</f>
      </c>
    </row>
    <row r="32" spans="5:5" x14ac:dyDescent="0.25">
      <c r="E32" s="15">
        <f>IF($C32="Certified",250,IF($C32="Lusong",$D32*0.05,IF($C32="Maintenance",500,"")))</f>
      </c>
    </row>
    <row r="33" spans="5:5" x14ac:dyDescent="0.25">
      <c r="E33" s="15">
        <f>IF($C33="Certified",250,IF($C33="Lusong",$D33*0.05,IF($C33="Maintenance",500,"")))</f>
      </c>
    </row>
    <row r="34" spans="5:5" x14ac:dyDescent="0.25">
      <c r="E34" s="15">
        <f>IF($C34="Certified",250,IF($C34="Lusong",$D34*0.05,IF($C34="Maintenance",500,"")))</f>
      </c>
    </row>
    <row r="35" spans="5:5" x14ac:dyDescent="0.25">
      <c r="E35" s="15">
        <f>IF($C35="Certified",250,IF($C35="Lusong",$D35*0.05,IF($C35="Maintenance",500,"")))</f>
      </c>
    </row>
    <row r="36" spans="5:5" x14ac:dyDescent="0.25">
      <c r="E36" s="15">
        <f>IF($C36="Certified",250,IF($C36="Lusong",$D36*0.05,IF($C36="Maintenance",500,"")))</f>
      </c>
    </row>
    <row r="37" spans="5:5" x14ac:dyDescent="0.25">
      <c r="E37" s="15">
        <f>IF($C37="Certified",250,IF($C37="Lusong",$D37*0.05,IF($C37="Maintenance",500,"")))</f>
      </c>
    </row>
    <row r="38" spans="5:5" x14ac:dyDescent="0.25">
      <c r="E38" s="15">
        <f>IF($C38="Certified",250,IF($C38="Lusong",$D38*0.05,IF($C38="Maintenance",500,"")))</f>
      </c>
    </row>
    <row r="39" spans="5:5" x14ac:dyDescent="0.25">
      <c r="E39" s="15">
        <f>IF($C39="Certified",250,IF($C39="Lusong",$D39*0.05,IF($C39="Maintenance",500,"")))</f>
      </c>
    </row>
    <row r="40" spans="5:5" x14ac:dyDescent="0.25">
      <c r="E40" s="15">
        <f>IF($C40="Certified",250,IF($C40="Lusong",$D40*0.05,IF($C40="Maintenance",500,"")))</f>
      </c>
    </row>
    <row r="41" spans="5:5" x14ac:dyDescent="0.25">
      <c r="E41" s="15">
        <f>IF($C41="Certified",250,IF($C41="Lusong",$D41*0.05,IF($C41="Maintenance",500,"")))</f>
      </c>
    </row>
    <row r="42" spans="5:5" x14ac:dyDescent="0.25">
      <c r="E42" s="15">
        <f>IF($C42="Certified",250,IF($C42="Lusong",$D42*0.05,IF($C42="Maintenance",500,"")))</f>
      </c>
    </row>
    <row r="43" spans="5:5" x14ac:dyDescent="0.25">
      <c r="E43" s="15">
        <f>IF($C43="Certified",250,IF($C43="Lusong",$D43*0.05,IF($C43="Maintenance",500,"")))</f>
      </c>
    </row>
    <row r="44" spans="5:5" x14ac:dyDescent="0.25">
      <c r="E44" s="15">
        <f>IF($C44="Certified",250,IF($C44="Lusong",$D44*0.05,IF($C44="Maintenance",500,"")))</f>
      </c>
    </row>
    <row r="45" spans="5:5" x14ac:dyDescent="0.25">
      <c r="E45" s="15">
        <f>IF($C45="Certified",250,IF($C45="Lusong",$D45*0.05,IF($C45="Maintenance",500,"")))</f>
      </c>
    </row>
    <row r="46" spans="5:5" x14ac:dyDescent="0.25">
      <c r="E46" s="15">
        <f>IF($C46="Certified",250,IF($C46="Lusong",$D46*0.05,IF($C46="Maintenance",500,"")))</f>
      </c>
    </row>
    <row r="47" spans="5:5" x14ac:dyDescent="0.25">
      <c r="E47" s="15">
        <f>IF($C47="Certified",250,IF($C47="Lusong",$D47*0.05,IF($C47="Maintenance",500,"")))</f>
      </c>
    </row>
    <row r="48" spans="5:5" x14ac:dyDescent="0.25">
      <c r="E48" s="15">
        <f>IF($C48="Certified",250,IF($C48="Lusong",$D48*0.05,IF($C48="Maintenance",500,"")))</f>
      </c>
    </row>
    <row r="49" spans="5:5" x14ac:dyDescent="0.25">
      <c r="E49" s="15">
        <f>IF($C49="Certified",250,IF($C49="Lusong",$D49*0.05,IF($C49="Maintenance",500,"")))</f>
      </c>
    </row>
    <row r="50" spans="5:5" x14ac:dyDescent="0.25">
      <c r="E50" s="15">
        <f>IF($C50="Certified",250,IF($C50="Lusong",$D50*0.05,IF($C50="Maintenance",500,"")))</f>
      </c>
    </row>
    <row r="51" spans="5:5" x14ac:dyDescent="0.25">
      <c r="E51" s="15">
        <f>IF($C51="Certified",250,IF($C51="Lusong",$D51*0.05,IF($C51="Maintenance",500,"")))</f>
      </c>
    </row>
    <row r="52" spans="5:5" x14ac:dyDescent="0.25">
      <c r="E52" s="15">
        <f>IF($C52="Certified",250,IF($C52="Lusong",$D52*0.05,IF($C52="Maintenance",500,"")))</f>
      </c>
    </row>
    <row r="53" spans="5:5" x14ac:dyDescent="0.25">
      <c r="E53" s="15">
        <f>IF($C53="Certified",250,IF($C53="Lusong",$D53*0.05,IF($C53="Maintenance",500,"")))</f>
      </c>
    </row>
    <row r="54" spans="5:5" x14ac:dyDescent="0.25">
      <c r="E54" s="15">
        <f>IF($C54="Certified",250,IF($C54="Lusong",$D54*0.05,IF($C54="Maintenance",500,"")))</f>
      </c>
    </row>
    <row r="55" spans="5:5" x14ac:dyDescent="0.25">
      <c r="E55" s="15">
        <f>IF($C55="Certified",250,IF($C55="Lusong",$D55*0.05,IF($C55="Maintenance",500,"")))</f>
      </c>
    </row>
    <row r="56" spans="5:5" x14ac:dyDescent="0.25">
      <c r="E56" s="15">
        <f>IF($C56="Certified",250,IF($C56="Lusong",$D56*0.05,IF($C56="Maintenance",500,"")))</f>
      </c>
    </row>
    <row r="57" spans="5:5" x14ac:dyDescent="0.25">
      <c r="E57" s="15">
        <f>IF($C57="Certified",250,IF($C57="Lusong",$D57*0.05,IF($C57="Maintenance",500,"")))</f>
      </c>
    </row>
    <row r="58" spans="5:5" x14ac:dyDescent="0.25">
      <c r="E58" s="15">
        <f>IF($C58="Certified",250,IF($C58="Lusong",$D58*0.05,IF($C58="Maintenance",500,"")))</f>
      </c>
    </row>
    <row r="59" spans="5:5" x14ac:dyDescent="0.25">
      <c r="E59" s="15">
        <f>IF($C59="Certified",250,IF($C59="Lusong",$D59*0.05,IF($C59="Maintenance",500,"")))</f>
      </c>
    </row>
    <row r="60" spans="5:5" x14ac:dyDescent="0.25">
      <c r="E60" s="15">
        <f>IF($C60="Certified",250,IF($C60="Lusong",$D60*0.05,IF($C60="Maintenance",500,"")))</f>
      </c>
    </row>
    <row r="61" spans="5:5" x14ac:dyDescent="0.25">
      <c r="E61" s="15">
        <f>IF($C61="Certified",250,IF($C61="Lusong",$D61*0.05,IF($C61="Maintenance",500,"")))</f>
      </c>
    </row>
    <row r="62" spans="5:5" x14ac:dyDescent="0.25">
      <c r="E62" s="15">
        <f>IF($C62="Certified",250,IF($C62="Lusong",$D62*0.05,IF($C62="Maintenance",500,"")))</f>
      </c>
    </row>
    <row r="63" spans="5:5" x14ac:dyDescent="0.25">
      <c r="E63" s="15">
        <f>IF($C63="Certified",250,IF($C63="Lusong",$D63*0.05,IF($C63="Maintenance",500,"")))</f>
      </c>
    </row>
    <row r="64" spans="5:5" x14ac:dyDescent="0.25">
      <c r="E64" s="15">
        <f>IF($C64="Certified",250,IF($C64="Lusong",$D64*0.05,IF($C64="Maintenance",500,"")))</f>
      </c>
    </row>
    <row r="65" spans="5:5" x14ac:dyDescent="0.25">
      <c r="E65" s="15">
        <f>IF($C65="Certified",250,IF($C65="Lusong",$D65*0.05,IF($C65="Maintenance",500,"")))</f>
      </c>
    </row>
    <row r="66" spans="5:5" x14ac:dyDescent="0.25">
      <c r="E66" s="15">
        <f>IF($C66="Certified",250,IF($C66="Lusong",$D66*0.05,IF($C66="Maintenance",500,"")))</f>
      </c>
    </row>
    <row r="67" spans="5:5" x14ac:dyDescent="0.25">
      <c r="E67" s="15">
        <f>IF($C67="Certified",250,IF($C67="Lusong",$D67*0.05,IF($C67="Maintenance",500,"")))</f>
      </c>
    </row>
    <row r="68" spans="5:5" x14ac:dyDescent="0.25">
      <c r="E68" s="15">
        <f>IF($C68="Certified",250,IF($C68="Lusong",$D68*0.05,IF($C68="Maintenance",500,"")))</f>
      </c>
    </row>
    <row r="69" spans="5:5" x14ac:dyDescent="0.25">
      <c r="E69" s="15">
        <f>IF($C69="Certified",250,IF($C69="Lusong",$D69*0.05,IF($C69="Maintenance",500,"")))</f>
      </c>
    </row>
    <row r="70" spans="5:5" x14ac:dyDescent="0.25">
      <c r="E70" s="15">
        <f>IF($C70="Certified",250,IF($C70="Lusong",$D70*0.05,IF($C70="Maintenance",500,"")))</f>
      </c>
    </row>
    <row r="71" spans="5:5" x14ac:dyDescent="0.25">
      <c r="E71" s="15">
        <f>IF($C71="Certified",250,IF($C71="Lusong",$D71*0.05,IF($C71="Maintenance",500,"")))</f>
      </c>
    </row>
    <row r="72" spans="5:5" x14ac:dyDescent="0.25">
      <c r="E72" s="15">
        <f>IF($C72="Certified",250,IF($C72="Lusong",$D72*0.05,IF($C72="Maintenance",500,"")))</f>
      </c>
    </row>
    <row r="73" spans="5:5" x14ac:dyDescent="0.25">
      <c r="E73" s="15">
        <f>IF($C73="Certified",250,IF($C73="Lusong",$D73*0.05,IF($C73="Maintenance",500,"")))</f>
      </c>
    </row>
    <row r="74" spans="5:5" x14ac:dyDescent="0.25">
      <c r="E74" s="15">
        <f>IF($C74="Certified",250,IF($C74="Lusong",$D74*0.05,IF($C74="Maintenance",500,"")))</f>
      </c>
    </row>
    <row r="75" spans="5:5" x14ac:dyDescent="0.25">
      <c r="E75" s="15">
        <f>IF($C75="Certified",250,IF($C75="Lusong",$D75*0.05,IF($C75="Maintenance",500,"")))</f>
      </c>
    </row>
    <row r="76" spans="5:5" x14ac:dyDescent="0.25">
      <c r="E76" s="15">
        <f>IF($C76="Certified",250,IF($C76="Lusong",$D76*0.05,IF($C76="Maintenance",500,"")))</f>
      </c>
    </row>
    <row r="77" spans="5:5" x14ac:dyDescent="0.25">
      <c r="E77" s="15">
        <f>IF($C77="Certified",250,IF($C77="Lusong",$D77*0.05,IF($C77="Maintenance",500,"")))</f>
      </c>
    </row>
    <row r="78" spans="5:5" x14ac:dyDescent="0.25">
      <c r="E78" s="15">
        <f>IF($C78="Certified",250,IF($C78="Lusong",$D78*0.05,IF($C78="Maintenance",500,"")))</f>
      </c>
    </row>
    <row r="79" spans="5:5" x14ac:dyDescent="0.25">
      <c r="E79" s="15">
        <f>IF($C79="Certified",250,IF($C79="Lusong",$D79*0.05,IF($C79="Maintenance",500,"")))</f>
      </c>
    </row>
    <row r="80" spans="5:5" x14ac:dyDescent="0.25">
      <c r="E80" s="15">
        <f>IF($C80="Certified",250,IF($C80="Lusong",$D80*0.05,IF($C80="Maintenance",500,"")))</f>
      </c>
    </row>
    <row r="81" spans="5:5" x14ac:dyDescent="0.25">
      <c r="E81" s="15">
        <f>IF($C81="Certified",250,IF($C81="Lusong",$D81*0.05,IF($C81="Maintenance",500,"")))</f>
      </c>
    </row>
    <row r="82" spans="5:5" x14ac:dyDescent="0.25">
      <c r="E82" s="15">
        <f>IF($C82="Certified",250,IF($C82="Lusong",$D82*0.05,IF($C82="Maintenance",500,"")))</f>
      </c>
    </row>
    <row r="83" spans="5:5" x14ac:dyDescent="0.25">
      <c r="E83" s="15">
        <f>IF($C83="Certified",250,IF($C83="Lusong",$D83*0.05,IF($C83="Maintenance",500,"")))</f>
      </c>
    </row>
    <row r="84" spans="5:5" x14ac:dyDescent="0.25">
      <c r="E84" s="15">
        <f>IF($C84="Certified",250,IF($C84="Lusong",$D84*0.05,IF($C84="Maintenance",500,"")))</f>
      </c>
    </row>
    <row r="85" spans="5:5" x14ac:dyDescent="0.25">
      <c r="E85" s="15">
        <f>IF($C85="Certified",250,IF($C85="Lusong",$D85*0.05,IF($C85="Maintenance",500,"")))</f>
      </c>
    </row>
    <row r="86" spans="5:5" x14ac:dyDescent="0.25">
      <c r="E86" s="15">
        <f>IF($C86="Certified",250,IF($C86="Lusong",$D86*0.05,IF($C86="Maintenance",500,"")))</f>
      </c>
    </row>
    <row r="87" spans="5:5" x14ac:dyDescent="0.25">
      <c r="E87" s="15">
        <f>IF($C87="Certified",250,IF($C87="Lusong",$D87*0.05,IF($C87="Maintenance",500,"")))</f>
      </c>
    </row>
    <row r="88" spans="5:5" x14ac:dyDescent="0.25">
      <c r="E88" s="15">
        <f>IF($C88="Certified",250,IF($C88="Lusong",$D88*0.05,IF($C88="Maintenance",500,"")))</f>
      </c>
    </row>
    <row r="89" spans="5:5" x14ac:dyDescent="0.25">
      <c r="E89" s="15">
        <f>IF($C89="Certified",250,IF($C89="Lusong",$D89*0.05,IF($C89="Maintenance",500,"")))</f>
      </c>
    </row>
    <row r="90" spans="5:5" x14ac:dyDescent="0.25">
      <c r="E90" s="15">
        <f>IF($C90="Certified",250,IF($C90="Lusong",$D90*0.05,IF($C90="Maintenance",500,"")))</f>
      </c>
    </row>
    <row r="91" spans="5:5" x14ac:dyDescent="0.25">
      <c r="E91" s="15">
        <f>IF($C91="Certified",250,IF($C91="Lusong",$D91*0.05,IF($C91="Maintenance",500,"")))</f>
      </c>
    </row>
    <row r="92" spans="5:5" x14ac:dyDescent="0.25">
      <c r="E92" s="15">
        <f>IF($C92="Certified",250,IF($C92="Lusong",$D92*0.05,IF($C92="Maintenance",500,"")))</f>
      </c>
    </row>
    <row r="93" spans="5:5" x14ac:dyDescent="0.25">
      <c r="E93" s="15">
        <f>IF($C93="Certified",250,IF($C93="Lusong",$D93*0.05,IF($C93="Maintenance",500,"")))</f>
      </c>
    </row>
    <row r="94" spans="5:5" x14ac:dyDescent="0.25">
      <c r="E94" s="15">
        <f>IF($C94="Certified",250,IF($C94="Lusong",$D94*0.05,IF($C94="Maintenance",500,"")))</f>
      </c>
    </row>
    <row r="95" spans="5:5" x14ac:dyDescent="0.25">
      <c r="E95" s="15">
        <f>IF($C95="Certified",250,IF($C95="Lusong",$D95*0.05,IF($C95="Maintenance",500,"")))</f>
      </c>
    </row>
    <row r="96" spans="5:5" x14ac:dyDescent="0.25">
      <c r="E96" s="15">
        <f>IF($C96="Certified",250,IF($C96="Lusong",$D96*0.05,IF($C96="Maintenance",500,"")))</f>
      </c>
    </row>
    <row r="97" spans="5:5" x14ac:dyDescent="0.25">
      <c r="E97" s="15">
        <f>IF($C97="Certified",250,IF($C97="Lusong",$D97*0.05,IF($C97="Maintenance",500,"")))</f>
      </c>
    </row>
    <row r="98" spans="5:5" x14ac:dyDescent="0.25">
      <c r="E98" s="15">
        <f>IF($C98="Certified",250,IF($C98="Lusong",$D98*0.05,IF($C98="Maintenance",500,"")))</f>
      </c>
    </row>
    <row r="99" spans="5:5" x14ac:dyDescent="0.25">
      <c r="E99" s="15">
        <f>IF($C99="Certified",250,IF($C99="Lusong",$D99*0.05,IF($C99="Maintenance",500,"")))</f>
      </c>
    </row>
    <row r="100" spans="5:5" x14ac:dyDescent="0.25">
      <c r="E100" s="15">
        <f>IF($C100="Certified",250,IF($C100="Lusong",$D100*0.05,IF($C100="Maintenance",500,"")))</f>
      </c>
    </row>
  </sheetData>
  <conditionalFormatting sqref="F2:F100">
    <cfRule type="cellIs" dxfId="0" priority="1" operator="equal">
      <formula>"OO"</formula>
    </cfRule>
  </conditionalFormatting>
  <dataValidations count="2">
    <dataValidation type="list" allowBlank="1" sqref="C2:C100">
      <formula1>"Certified,Lusong,Maintenance"</formula1>
    </dataValidation>
    <dataValidation type="list" allowBlank="1" sqref="F2:F100">
      <formula1>"OO,HINDI"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Payslip</vt:lpstr>
      <vt:lpstr>DailyLog</vt:lpstr>
      <vt:lpstr>Earnings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2026-07-20T08:55:52Z</dcterms:created>
  <dcterms:modified xsi:type="dcterms:W3CDTF">2026-07-20T08:55:52Z</dcterms:modified>
</cp:coreProperties>
</file>